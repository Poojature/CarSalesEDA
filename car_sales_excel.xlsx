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esktop\EDA Car Sales Project\Excel\"/>
    </mc:Choice>
  </mc:AlternateContent>
  <bookViews>
    <workbookView xWindow="0" yWindow="0" windowWidth="23040" windowHeight="9072" activeTab="1"/>
  </bookViews>
  <sheets>
    <sheet name="Sheet2" sheetId="2" r:id="rId1"/>
    <sheet name="Sheet1" sheetId="1" r:id="rId2"/>
  </sheets>
  <definedNames>
    <definedName name="Car_sales" localSheetId="1">Sheet1!$A$1:$P$158</definedName>
    <definedName name="Slicer_Vehicle_type">#N/A</definedName>
  </definedNames>
  <calcPr calcId="162913"/>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2" i="1"/>
</calcChain>
</file>

<file path=xl/connections.xml><?xml version="1.0" encoding="utf-8"?>
<connections xmlns="http://schemas.openxmlformats.org/spreadsheetml/2006/main">
  <connection id="1" name="Car_sales" type="6" refreshedVersion="6" background="1" saveData="1">
    <textPr codePage="437" sourceFile="D:\Desktop\EDA Car Sales Project\Car_sales.csv" tab="0" comma="1">
      <textFields count="16">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<sst xmlns="http://schemas.openxmlformats.org/spreadsheetml/2006/main" count="606" uniqueCount="287">
  <si>
    <t>Manufacturer</t>
  </si>
  <si>
    <t>Model</t>
  </si>
  <si>
    <t>Sales_in_thousands</t>
  </si>
  <si>
    <t>__year_resale_value</t>
  </si>
  <si>
    <t>Vehicle_type</t>
  </si>
  <si>
    <t>Price_in_thousands</t>
  </si>
  <si>
    <t>Engine_size</t>
  </si>
  <si>
    <t>Horsepower</t>
  </si>
  <si>
    <t>Wheelbase</t>
  </si>
  <si>
    <t>Width</t>
  </si>
  <si>
    <t>Length</t>
  </si>
  <si>
    <t>Curb_weight</t>
  </si>
  <si>
    <t>Fuel_capacity</t>
  </si>
  <si>
    <t>Fuel_efficiency</t>
  </si>
  <si>
    <t>Latest_Launch</t>
  </si>
  <si>
    <t>Power_perf_factor</t>
  </si>
  <si>
    <t>Acura</t>
  </si>
  <si>
    <t>Integra</t>
  </si>
  <si>
    <t>Passenger</t>
  </si>
  <si>
    <t>TL</t>
  </si>
  <si>
    <t>CL</t>
  </si>
  <si>
    <t>RL</t>
  </si>
  <si>
    <t>Audi</t>
  </si>
  <si>
    <t>A4</t>
  </si>
  <si>
    <t>A6</t>
  </si>
  <si>
    <t>A8</t>
  </si>
  <si>
    <t>2/27/2012</t>
  </si>
  <si>
    <t>BMW</t>
  </si>
  <si>
    <t>323i</t>
  </si>
  <si>
    <t>6/28/2011</t>
  </si>
  <si>
    <t>328i</t>
  </si>
  <si>
    <t>1/29/2012</t>
  </si>
  <si>
    <t>528i</t>
  </si>
  <si>
    <t>Buick</t>
  </si>
  <si>
    <t>Century</t>
  </si>
  <si>
    <t>Regal</t>
  </si>
  <si>
    <t>Park Avenue</t>
  </si>
  <si>
    <t>3/23/2012</t>
  </si>
  <si>
    <t>LeSabre</t>
  </si>
  <si>
    <t>7/23/2011</t>
  </si>
  <si>
    <t>Cadillac</t>
  </si>
  <si>
    <t>DeVille</t>
  </si>
  <si>
    <t>2/23/2012</t>
  </si>
  <si>
    <t>Seville</t>
  </si>
  <si>
    <t>4/29/2011</t>
  </si>
  <si>
    <t>Eldorado</t>
  </si>
  <si>
    <t>11/27/2011</t>
  </si>
  <si>
    <t>Catera</t>
  </si>
  <si>
    <t>9/28/2011</t>
  </si>
  <si>
    <t>Escalade</t>
  </si>
  <si>
    <t>Car</t>
  </si>
  <si>
    <t>4/17/2012</t>
  </si>
  <si>
    <t>Chevrolet</t>
  </si>
  <si>
    <t>Cavalier</t>
  </si>
  <si>
    <t>8/17/2011</t>
  </si>
  <si>
    <t>Malibu</t>
  </si>
  <si>
    <t>3/19/2012</t>
  </si>
  <si>
    <t>Lumina</t>
  </si>
  <si>
    <t>5/24/2011</t>
  </si>
  <si>
    <t>Monte Carlo</t>
  </si>
  <si>
    <t>12/22/2011</t>
  </si>
  <si>
    <t>Camaro</t>
  </si>
  <si>
    <t>10/23/2011</t>
  </si>
  <si>
    <t>Corvette</t>
  </si>
  <si>
    <t>Prizm</t>
  </si>
  <si>
    <t>Metro</t>
  </si>
  <si>
    <t>4/13/2012</t>
  </si>
  <si>
    <t>Impala</t>
  </si>
  <si>
    <t>6/18/2011</t>
  </si>
  <si>
    <t>Chrysler</t>
  </si>
  <si>
    <t>Sebring Coupe</t>
  </si>
  <si>
    <t>1/16/2012</t>
  </si>
  <si>
    <t>Sebring Conv.</t>
  </si>
  <si>
    <t>11/17/2011</t>
  </si>
  <si>
    <t>Concorde</t>
  </si>
  <si>
    <t>Cirrus</t>
  </si>
  <si>
    <t>LHS</t>
  </si>
  <si>
    <t>Town &amp; Country</t>
  </si>
  <si>
    <t>7/13/2011</t>
  </si>
  <si>
    <t>300M</t>
  </si>
  <si>
    <t>Dodge</t>
  </si>
  <si>
    <t>Neon</t>
  </si>
  <si>
    <t>Avenger</t>
  </si>
  <si>
    <t>Stratus</t>
  </si>
  <si>
    <t>10/31/2011</t>
  </si>
  <si>
    <t>Intrepid</t>
  </si>
  <si>
    <t>Viper</t>
  </si>
  <si>
    <t>Ram Pickup</t>
  </si>
  <si>
    <t>Ram Wagon</t>
  </si>
  <si>
    <t>Ram Van</t>
  </si>
  <si>
    <t>7/26/2012</t>
  </si>
  <si>
    <t>Dakota</t>
  </si>
  <si>
    <t>11/25/2011</t>
  </si>
  <si>
    <t>Durango</t>
  </si>
  <si>
    <t>6/27/2012</t>
  </si>
  <si>
    <t>Caravan</t>
  </si>
  <si>
    <t>Ford</t>
  </si>
  <si>
    <t>Escort</t>
  </si>
  <si>
    <t>3/31/2012</t>
  </si>
  <si>
    <t>Mustang</t>
  </si>
  <si>
    <t>1/31/2012</t>
  </si>
  <si>
    <t>Contour</t>
  </si>
  <si>
    <t>8/20/2012</t>
  </si>
  <si>
    <t>Taurus</t>
  </si>
  <si>
    <t>12/20/2011</t>
  </si>
  <si>
    <t>Focus</t>
  </si>
  <si>
    <t>7/22/2012</t>
  </si>
  <si>
    <t>Crown Victoria</t>
  </si>
  <si>
    <t>9/26/2011</t>
  </si>
  <si>
    <t>Explorer</t>
  </si>
  <si>
    <t>4/25/2012</t>
  </si>
  <si>
    <t>Windstar</t>
  </si>
  <si>
    <t>2/25/2012</t>
  </si>
  <si>
    <t>Expedition</t>
  </si>
  <si>
    <t>9/14/2012</t>
  </si>
  <si>
    <t>Ranger</t>
  </si>
  <si>
    <t>1/14/2012</t>
  </si>
  <si>
    <t>F-Series</t>
  </si>
  <si>
    <t>8/16/2012</t>
  </si>
  <si>
    <t>Honda</t>
  </si>
  <si>
    <t>Civic</t>
  </si>
  <si>
    <t>10/21/2011</t>
  </si>
  <si>
    <t>Accord</t>
  </si>
  <si>
    <t>5/20/2012</t>
  </si>
  <si>
    <t>CR-V</t>
  </si>
  <si>
    <t>3/21/2012</t>
  </si>
  <si>
    <t>Passport</t>
  </si>
  <si>
    <t>Odyssey</t>
  </si>
  <si>
    <t>Hyundai</t>
  </si>
  <si>
    <t>Accent</t>
  </si>
  <si>
    <t>Elantra</t>
  </si>
  <si>
    <t>11/15/2011</t>
  </si>
  <si>
    <t>Sonata</t>
  </si>
  <si>
    <t>6/14/2012</t>
  </si>
  <si>
    <t>Infiniti</t>
  </si>
  <si>
    <t>I30</t>
  </si>
  <si>
    <t>4/15/2012</t>
  </si>
  <si>
    <t>Jaguar</t>
  </si>
  <si>
    <t>S-Type</t>
  </si>
  <si>
    <t>Jeep</t>
  </si>
  <si>
    <t>Wrangler</t>
  </si>
  <si>
    <t>Cherokee</t>
  </si>
  <si>
    <t>Grand Cherokee</t>
  </si>
  <si>
    <t>Lexus</t>
  </si>
  <si>
    <t>ES300</t>
  </si>
  <si>
    <t>GS300</t>
  </si>
  <si>
    <t>GS400</t>
  </si>
  <si>
    <t>11/28/2012</t>
  </si>
  <si>
    <t>LS400</t>
  </si>
  <si>
    <t>3/29/2012</t>
  </si>
  <si>
    <t>LX470</t>
  </si>
  <si>
    <t>10/30/2012</t>
  </si>
  <si>
    <t>RX300</t>
  </si>
  <si>
    <t>Lincoln</t>
  </si>
  <si>
    <t>Continental</t>
  </si>
  <si>
    <t>Town car</t>
  </si>
  <si>
    <t>Navigator</t>
  </si>
  <si>
    <t>12/23/2012</t>
  </si>
  <si>
    <t>Mitsubishi</t>
  </si>
  <si>
    <t>Mirage</t>
  </si>
  <si>
    <t>4/23/2012</t>
  </si>
  <si>
    <t>Eclipse</t>
  </si>
  <si>
    <t>11/24/2012</t>
  </si>
  <si>
    <t>Galant</t>
  </si>
  <si>
    <t>Diamante</t>
  </si>
  <si>
    <t>8/28/2012</t>
  </si>
  <si>
    <t>3000GT</t>
  </si>
  <si>
    <t>6/29/2012</t>
  </si>
  <si>
    <t>Montero</t>
  </si>
  <si>
    <t>1/17/2012</t>
  </si>
  <si>
    <t>Montero Sport</t>
  </si>
  <si>
    <t>5/18/2012</t>
  </si>
  <si>
    <t>Mercury</t>
  </si>
  <si>
    <t>Mystique</t>
  </si>
  <si>
    <t>12/19/2012</t>
  </si>
  <si>
    <t>Cougar</t>
  </si>
  <si>
    <t>Sable</t>
  </si>
  <si>
    <t>9/22/2012</t>
  </si>
  <si>
    <t>Grand Marquis</t>
  </si>
  <si>
    <t>7/24/2012</t>
  </si>
  <si>
    <t>Mountaineer</t>
  </si>
  <si>
    <t>2/13/2008</t>
  </si>
  <si>
    <t>Villager</t>
  </si>
  <si>
    <t>10/20/2009</t>
  </si>
  <si>
    <t>Mercedes-B</t>
  </si>
  <si>
    <t>C-Class</t>
  </si>
  <si>
    <t>4/24/2011</t>
  </si>
  <si>
    <t>E-Class</t>
  </si>
  <si>
    <t>S-Class</t>
  </si>
  <si>
    <t>6/13/2011</t>
  </si>
  <si>
    <t>SL-Class</t>
  </si>
  <si>
    <t>3/17/2011</t>
  </si>
  <si>
    <t>SLK</t>
  </si>
  <si>
    <t>1/16/2011</t>
  </si>
  <si>
    <t>SLK230</t>
  </si>
  <si>
    <t>CLK Coupe</t>
  </si>
  <si>
    <t>CL500</t>
  </si>
  <si>
    <t>M-Class</t>
  </si>
  <si>
    <t>Nissan</t>
  </si>
  <si>
    <t>Sentra</t>
  </si>
  <si>
    <t>8/31/2011</t>
  </si>
  <si>
    <t>Altima</t>
  </si>
  <si>
    <t>Maxima</t>
  </si>
  <si>
    <t>Quest</t>
  </si>
  <si>
    <t>Pathfinder</t>
  </si>
  <si>
    <t>9/25/2011</t>
  </si>
  <si>
    <t>Xterra</t>
  </si>
  <si>
    <t>1/24/2011</t>
  </si>
  <si>
    <t>Frontier</t>
  </si>
  <si>
    <t>8/27/2011</t>
  </si>
  <si>
    <t>Oldsmobile</t>
  </si>
  <si>
    <t>Cutlass</t>
  </si>
  <si>
    <t>5/31/2011</t>
  </si>
  <si>
    <t>Intrigue</t>
  </si>
  <si>
    <t>Alero</t>
  </si>
  <si>
    <t>Aurora</t>
  </si>
  <si>
    <t>2/18/2011</t>
  </si>
  <si>
    <t>Bravada</t>
  </si>
  <si>
    <t>9/21/2011</t>
  </si>
  <si>
    <t>Silhouette</t>
  </si>
  <si>
    <t>6/25/2011</t>
  </si>
  <si>
    <t>Plymouth</t>
  </si>
  <si>
    <t>4/26/2011</t>
  </si>
  <si>
    <t>Breeze</t>
  </si>
  <si>
    <t>11/14/2011</t>
  </si>
  <si>
    <t>Voyager</t>
  </si>
  <si>
    <t>Prowler</t>
  </si>
  <si>
    <t>Pontiac</t>
  </si>
  <si>
    <t>Sunfire</t>
  </si>
  <si>
    <t>1/25/2012</t>
  </si>
  <si>
    <t>Grand Am</t>
  </si>
  <si>
    <t>11/26/2012</t>
  </si>
  <si>
    <t>Firebird</t>
  </si>
  <si>
    <t>6/16/2012</t>
  </si>
  <si>
    <t>Grand Prix</t>
  </si>
  <si>
    <t>10/15/2012</t>
  </si>
  <si>
    <t>Bonneville</t>
  </si>
  <si>
    <t>5/18/2011</t>
  </si>
  <si>
    <t>Montana</t>
  </si>
  <si>
    <t>Porsche</t>
  </si>
  <si>
    <t>Boxter</t>
  </si>
  <si>
    <t>2/19/2012</t>
  </si>
  <si>
    <t>Carrera Coupe</t>
  </si>
  <si>
    <t>12/21/2012</t>
  </si>
  <si>
    <t>Carrera Cabrio</t>
  </si>
  <si>
    <t>Saab</t>
  </si>
  <si>
    <t>Saturn</t>
  </si>
  <si>
    <t>SL</t>
  </si>
  <si>
    <t>SC</t>
  </si>
  <si>
    <t>3/16/2011</t>
  </si>
  <si>
    <t>SW</t>
  </si>
  <si>
    <t>1/15/2011</t>
  </si>
  <si>
    <t>LW</t>
  </si>
  <si>
    <t>LS</t>
  </si>
  <si>
    <t>Subaru</t>
  </si>
  <si>
    <t>Outback</t>
  </si>
  <si>
    <t>Forester</t>
  </si>
  <si>
    <t>Toyota</t>
  </si>
  <si>
    <t>Corolla</t>
  </si>
  <si>
    <t>Camry</t>
  </si>
  <si>
    <t>Avalon</t>
  </si>
  <si>
    <t>Celica</t>
  </si>
  <si>
    <t>12/29/2012</t>
  </si>
  <si>
    <t>Tacoma</t>
  </si>
  <si>
    <t>Sienna</t>
  </si>
  <si>
    <t>RAV4</t>
  </si>
  <si>
    <t>4Runner</t>
  </si>
  <si>
    <t>Land Cruiser</t>
  </si>
  <si>
    <t>Volkswagen</t>
  </si>
  <si>
    <t>Golf</t>
  </si>
  <si>
    <t>Jetta</t>
  </si>
  <si>
    <t>Passat</t>
  </si>
  <si>
    <t>Cabrio</t>
  </si>
  <si>
    <t>GTI</t>
  </si>
  <si>
    <t>Beetle</t>
  </si>
  <si>
    <t>10/20/2011</t>
  </si>
  <si>
    <t>Volvo</t>
  </si>
  <si>
    <t>S40</t>
  </si>
  <si>
    <t>V40</t>
  </si>
  <si>
    <t>S70</t>
  </si>
  <si>
    <t>V70</t>
  </si>
  <si>
    <t>C70</t>
  </si>
  <si>
    <t>S80</t>
  </si>
  <si>
    <t>Row Labels</t>
  </si>
  <si>
    <t>Grand Total</t>
  </si>
  <si>
    <t>Sum of Sales_in_thousands</t>
  </si>
  <si>
    <t>Price_Category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</si>
</sst>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320040</xdr:colOff>
      <xdr:row>7</xdr:row>
      <xdr:rowOff>167640</xdr:rowOff>
    </xdr:from>
    <xdr:to>
      <xdr:col>9</xdr:col>
      <xdr:colOff>320040</xdr:colOff>
      <xdr:row>21</xdr:row>
      <xdr:rowOff>74295</xdr:rowOff>
    </xdr:to>
    <mc:AlternateContent xmlns:mc="http://schemas.openxmlformats.org/markup-compatibility/2006">
      <mc:Choice xmlns:a14="http://schemas.microsoft.com/office/drawing/2010/main" Requires="a14">
        <xdr:graphicFrame macro="">
          <xdr:nvGraphicFramePr>
            <xdr:cNvPr id="2" name="Vehicle_type"/>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528828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ooja Ture" refreshedDate="46173.866046759256" createdVersion="6" refreshedVersion="6" minRefreshableVersion="3" recordCount="157">
  <cacheSource type="worksheet">
    <worksheetSource ref="A1:P158" sheet="Sheet1"/>
  </cacheSource>
  <cacheFields count="16">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Model" numFmtId="0">
      <sharedItems containsDate="1" containsMixedTypes="1" minDate="2026-09-03T00:00:00" maxDate="2026-09-06T00:00:00"/>
    </cacheField>
    <cacheField name="Sales_in_thousands" numFmtId="0">
      <sharedItems containsSemiMixedTypes="0" containsString="0" containsNumber="1" minValue="0.11" maxValue="540.56100000000004"/>
    </cacheField>
    <cacheField name="__year_resale_value" numFmtId="0">
      <sharedItems containsString="0" containsBlank="1" containsNumber="1" minValue="5.16" maxValue="67.55"/>
    </cacheField>
    <cacheField name="Vehicle_type" numFmtId="0">
      <sharedItems count="2">
        <s v="Passenger"/>
        <s v="Car"/>
      </sharedItems>
    </cacheField>
    <cacheField name="Price_in_thousands" numFmtId="0">
      <sharedItems containsString="0" containsBlank="1" containsNumber="1" minValue="9.2349999999999994" maxValue="85.5"/>
    </cacheField>
    <cacheField name="Engine_size" numFmtId="0">
      <sharedItems containsString="0" containsBlank="1" containsNumber="1" minValue="1" maxValue="8"/>
    </cacheField>
    <cacheField name="Horsepower" numFmtId="0">
      <sharedItems containsString="0" containsBlank="1" containsNumber="1" containsInteger="1" minValue="55" maxValue="450"/>
    </cacheField>
    <cacheField name="Wheelbase" numFmtId="0">
      <sharedItems containsString="0" containsBlank="1" containsNumber="1" minValue="92.6" maxValue="138.69999999999999"/>
    </cacheField>
    <cacheField name="Width" numFmtId="0">
      <sharedItems containsString="0" containsBlank="1" containsNumber="1" minValue="62.6" maxValue="79.900000000000006"/>
    </cacheField>
    <cacheField name="Length" numFmtId="0">
      <sharedItems containsString="0" containsBlank="1" containsNumber="1" minValue="149.4" maxValue="224.5"/>
    </cacheField>
    <cacheField name="Curb_weight" numFmtId="0">
      <sharedItems containsString="0" containsBlank="1" containsNumber="1" minValue="1.895" maxValue="5.5720000000000001"/>
    </cacheField>
    <cacheField name="Fuel_capacity" numFmtId="0">
      <sharedItems containsString="0" containsBlank="1" containsNumber="1" minValue="10.3" maxValue="32"/>
    </cacheField>
    <cacheField name="Fuel_efficiency" numFmtId="0">
      <sharedItems containsString="0" containsBlank="1" containsNumber="1" containsInteger="1" minValue="15" maxValue="45"/>
    </cacheField>
    <cacheField name="Latest_Launch" numFmtId="0">
      <sharedItems containsDate="1" containsMixedTypes="1" minDate="2011-01-04T00:00:00" maxDate="2012-12-06T00:00:00"/>
    </cacheField>
    <cacheField name="Power_perf_factor" numFmtId="0">
      <sharedItems containsString="0" containsBlank="1" containsNumber="1" minValue="23.276272330000001" maxValue="188.1443230000000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7">
  <r>
    <x v="0"/>
    <s v="Integra"/>
    <n v="16.919"/>
    <n v="16.36"/>
    <x v="0"/>
    <n v="21.5"/>
    <n v="1.8"/>
    <n v="140"/>
    <n v="101.2"/>
    <n v="67.3"/>
    <n v="172.4"/>
    <n v="2.6389999999999998"/>
    <n v="13.2"/>
    <n v="28"/>
    <d v="2012-02-02T00:00:00"/>
    <n v="58.280149520000002"/>
  </r>
  <r>
    <x v="0"/>
    <s v="TL"/>
    <n v="39.384"/>
    <n v="19.875"/>
    <x v="0"/>
    <n v="28.4"/>
    <n v="3.2"/>
    <n v="225"/>
    <n v="108.1"/>
    <n v="70.3"/>
    <n v="192.9"/>
    <n v="3.5169999999999999"/>
    <n v="17.2"/>
    <n v="25"/>
    <d v="2011-03-06T00:00:00"/>
    <n v="91.370777660000002"/>
  </r>
  <r>
    <x v="0"/>
    <s v="CL"/>
    <n v="14.114000000000001"/>
    <n v="18.225000000000001"/>
    <x v="0"/>
    <m/>
    <n v="3.2"/>
    <n v="225"/>
    <n v="106.9"/>
    <n v="70.599999999999994"/>
    <n v="192"/>
    <n v="3.47"/>
    <n v="17.2"/>
    <n v="26"/>
    <d v="2012-04-01T00:00:00"/>
    <m/>
  </r>
  <r>
    <x v="0"/>
    <s v="RL"/>
    <n v="8.5879999999999992"/>
    <n v="29.725000000000001"/>
    <x v="0"/>
    <n v="42"/>
    <n v="3.5"/>
    <n v="210"/>
    <n v="114.6"/>
    <n v="71.400000000000006"/>
    <n v="196.6"/>
    <n v="3.85"/>
    <n v="18"/>
    <n v="22"/>
    <d v="2011-10-03T00:00:00"/>
    <n v="91.389779329999996"/>
  </r>
  <r>
    <x v="1"/>
    <s v="A4"/>
    <n v="20.396999999999998"/>
    <n v="22.254999999999999"/>
    <x v="0"/>
    <n v="23.99"/>
    <n v="1.8"/>
    <n v="150"/>
    <n v="102.6"/>
    <n v="68.2"/>
    <n v="178"/>
    <n v="2.9980000000000002"/>
    <n v="16.399999999999999"/>
    <n v="27"/>
    <d v="2011-08-10T00:00:00"/>
    <n v="62.777639200000003"/>
  </r>
  <r>
    <x v="1"/>
    <s v="A6"/>
    <n v="18.78"/>
    <n v="23.555"/>
    <x v="0"/>
    <n v="33.950000000000003"/>
    <n v="2.8"/>
    <n v="200"/>
    <n v="108.7"/>
    <n v="76.099999999999994"/>
    <n v="192"/>
    <n v="3.5609999999999999"/>
    <n v="18.5"/>
    <n v="22"/>
    <d v="2011-09-08T00:00:00"/>
    <n v="84.565105020000004"/>
  </r>
  <r>
    <x v="1"/>
    <s v="A8"/>
    <n v="1.38"/>
    <n v="39"/>
    <x v="0"/>
    <n v="62"/>
    <n v="4.2"/>
    <n v="310"/>
    <n v="113"/>
    <n v="74"/>
    <n v="198.2"/>
    <n v="3.9020000000000001"/>
    <n v="23.7"/>
    <n v="21"/>
    <s v="2/27/2012"/>
    <n v="134.65685819999999"/>
  </r>
  <r>
    <x v="2"/>
    <s v="323i"/>
    <n v="19.747"/>
    <m/>
    <x v="0"/>
    <n v="26.99"/>
    <n v="2.5"/>
    <n v="170"/>
    <n v="107.3"/>
    <n v="68.400000000000006"/>
    <n v="176"/>
    <n v="3.1789999999999998"/>
    <n v="16.600000000000001"/>
    <n v="26"/>
    <s v="6/28/2011"/>
    <n v="71.191206710000003"/>
  </r>
  <r>
    <x v="2"/>
    <s v="328i"/>
    <n v="9.2309999999999999"/>
    <n v="28.675000000000001"/>
    <x v="0"/>
    <n v="33.4"/>
    <n v="2.8"/>
    <n v="193"/>
    <n v="107.3"/>
    <n v="68.5"/>
    <n v="176"/>
    <n v="3.1970000000000001"/>
    <n v="16.600000000000001"/>
    <n v="24"/>
    <s v="1/29/2012"/>
    <n v="81.877068559999998"/>
  </r>
  <r>
    <x v="2"/>
    <s v="528i"/>
    <n v="17.527000000000001"/>
    <n v="36.125"/>
    <x v="0"/>
    <n v="38.9"/>
    <n v="2.8"/>
    <n v="193"/>
    <n v="111.4"/>
    <n v="70.900000000000006"/>
    <n v="188"/>
    <n v="3.472"/>
    <n v="18.5"/>
    <n v="25"/>
    <d v="2011-04-04T00:00:00"/>
    <n v="83.998723799999993"/>
  </r>
  <r>
    <x v="3"/>
    <s v="Century"/>
    <n v="91.561000000000007"/>
    <n v="12.475"/>
    <x v="0"/>
    <n v="21.975000000000001"/>
    <n v="3.1"/>
    <n v="175"/>
    <n v="109"/>
    <n v="72.7"/>
    <n v="194.6"/>
    <n v="3.3679999999999999"/>
    <n v="17.5"/>
    <n v="25"/>
    <d v="2011-02-11T00:00:00"/>
    <n v="71.181451319999994"/>
  </r>
  <r>
    <x v="3"/>
    <s v="Regal"/>
    <n v="39.35"/>
    <n v="13.74"/>
    <x v="0"/>
    <n v="25.3"/>
    <n v="3.8"/>
    <n v="240"/>
    <n v="109"/>
    <n v="72.7"/>
    <n v="196.2"/>
    <n v="3.5430000000000001"/>
    <n v="17.5"/>
    <n v="23"/>
    <d v="2011-03-09T00:00:00"/>
    <n v="95.636702529999994"/>
  </r>
  <r>
    <x v="3"/>
    <s v="Park Avenue"/>
    <n v="27.850999999999999"/>
    <n v="20.190000000000001"/>
    <x v="0"/>
    <n v="31.965"/>
    <n v="3.8"/>
    <n v="205"/>
    <n v="113.8"/>
    <n v="74.7"/>
    <n v="206.8"/>
    <n v="3.778"/>
    <n v="18.5"/>
    <n v="24"/>
    <s v="3/23/2012"/>
    <n v="85.828408249999995"/>
  </r>
  <r>
    <x v="3"/>
    <s v="LeSabre"/>
    <n v="83.257000000000005"/>
    <n v="13.36"/>
    <x v="0"/>
    <n v="27.885000000000002"/>
    <n v="3.8"/>
    <n v="205"/>
    <n v="112.2"/>
    <n v="73.5"/>
    <n v="200"/>
    <n v="3.5910000000000002"/>
    <n v="17.5"/>
    <n v="25"/>
    <s v="7/23/2011"/>
    <n v="84.254525810000004"/>
  </r>
  <r>
    <x v="4"/>
    <s v="DeVille"/>
    <n v="63.728999999999999"/>
    <n v="22.524999999999999"/>
    <x v="0"/>
    <n v="39.895000000000003"/>
    <n v="4.5999999999999996"/>
    <n v="275"/>
    <n v="115.3"/>
    <n v="74.5"/>
    <n v="207.2"/>
    <n v="3.9780000000000002"/>
    <n v="18.5"/>
    <n v="22"/>
    <s v="2/23/2012"/>
    <n v="113.85459760000001"/>
  </r>
  <r>
    <x v="4"/>
    <s v="Seville"/>
    <n v="15.943"/>
    <n v="27.1"/>
    <x v="0"/>
    <n v="44.475000000000001"/>
    <n v="4.5999999999999996"/>
    <n v="275"/>
    <n v="112.2"/>
    <n v="75"/>
    <n v="201"/>
    <m/>
    <n v="18.5"/>
    <n v="22"/>
    <s v="4/29/2011"/>
    <n v="115.6213578"/>
  </r>
  <r>
    <x v="4"/>
    <s v="Eldorado"/>
    <n v="6.5359999999999996"/>
    <n v="25.725000000000001"/>
    <x v="0"/>
    <n v="39.664999999999999"/>
    <n v="4.5999999999999996"/>
    <n v="275"/>
    <n v="108"/>
    <n v="75.5"/>
    <n v="200.6"/>
    <n v="3.843"/>
    <n v="19"/>
    <n v="22"/>
    <s v="11/27/2011"/>
    <n v="113.7658739"/>
  </r>
  <r>
    <x v="4"/>
    <s v="Catera"/>
    <n v="11.185"/>
    <n v="18.225000000000001"/>
    <x v="0"/>
    <n v="31.01"/>
    <n v="3"/>
    <n v="200"/>
    <n v="107.4"/>
    <n v="70.3"/>
    <n v="194.8"/>
    <n v="3.77"/>
    <n v="18"/>
    <n v="22"/>
    <s v="9/28/2011"/>
    <n v="83.483093580000002"/>
  </r>
  <r>
    <x v="4"/>
    <s v="Escalade"/>
    <n v="14.785"/>
    <m/>
    <x v="1"/>
    <n v="46.225000000000001"/>
    <n v="5.7"/>
    <n v="255"/>
    <n v="117.5"/>
    <n v="77"/>
    <n v="201.2"/>
    <n v="5.5720000000000001"/>
    <n v="30"/>
    <n v="15"/>
    <s v="4/17/2012"/>
    <n v="109.5091165"/>
  </r>
  <r>
    <x v="5"/>
    <s v="Cavalier"/>
    <n v="145.51900000000001"/>
    <n v="9.25"/>
    <x v="0"/>
    <n v="13.26"/>
    <n v="2.2000000000000002"/>
    <n v="115"/>
    <n v="104.1"/>
    <n v="67.900000000000006"/>
    <n v="180.9"/>
    <n v="2.6760000000000002"/>
    <n v="14.3"/>
    <n v="27"/>
    <s v="8/17/2011"/>
    <n v="46.363347470000001"/>
  </r>
  <r>
    <x v="5"/>
    <s v="Malibu"/>
    <n v="135.126"/>
    <n v="11.225"/>
    <x v="0"/>
    <n v="16.535"/>
    <n v="3.1"/>
    <n v="170"/>
    <n v="107"/>
    <n v="69.400000000000006"/>
    <n v="190.4"/>
    <n v="3.0510000000000002"/>
    <n v="15"/>
    <n v="25"/>
    <s v="3/19/2012"/>
    <n v="67.314462160000005"/>
  </r>
  <r>
    <x v="5"/>
    <s v="Lumina"/>
    <n v="24.629000000000001"/>
    <n v="10.31"/>
    <x v="0"/>
    <n v="18.89"/>
    <n v="3.1"/>
    <n v="175"/>
    <n v="107.5"/>
    <n v="72.5"/>
    <n v="200.9"/>
    <n v="3.33"/>
    <n v="16.600000000000001"/>
    <n v="25"/>
    <s v="5/24/2011"/>
    <n v="69.991395600000004"/>
  </r>
  <r>
    <x v="5"/>
    <s v="Monte Carlo"/>
    <n v="42.593000000000004"/>
    <n v="11.525"/>
    <x v="0"/>
    <n v="19.39"/>
    <n v="3.4"/>
    <n v="180"/>
    <n v="110.5"/>
    <n v="72.7"/>
    <n v="197.9"/>
    <n v="3.34"/>
    <n v="17"/>
    <n v="27"/>
    <s v="12/22/2011"/>
    <n v="72.030917189999997"/>
  </r>
  <r>
    <x v="5"/>
    <s v="Camaro"/>
    <n v="26.402000000000001"/>
    <n v="13.025"/>
    <x v="0"/>
    <n v="24.34"/>
    <n v="3.8"/>
    <n v="200"/>
    <n v="101.1"/>
    <n v="74.099999999999994"/>
    <n v="193.2"/>
    <n v="3.5"/>
    <n v="16.8"/>
    <n v="25"/>
    <s v="10/23/2011"/>
    <n v="81.118543329999994"/>
  </r>
  <r>
    <x v="5"/>
    <s v="Corvette"/>
    <n v="17.946999999999999"/>
    <n v="36.225000000000001"/>
    <x v="0"/>
    <n v="45.704999999999998"/>
    <n v="5.7"/>
    <n v="345"/>
    <n v="104.5"/>
    <n v="73.599999999999994"/>
    <n v="179.7"/>
    <n v="3.21"/>
    <n v="19.100000000000001"/>
    <n v="22"/>
    <d v="2012-12-05T00:00:00"/>
    <n v="141.14115000000001"/>
  </r>
  <r>
    <x v="5"/>
    <s v="Prizm"/>
    <n v="32.298999999999999"/>
    <n v="9.125"/>
    <x v="0"/>
    <n v="13.96"/>
    <n v="1.8"/>
    <n v="120"/>
    <n v="97.1"/>
    <n v="66.7"/>
    <n v="174.3"/>
    <n v="2.3980000000000001"/>
    <n v="13.2"/>
    <n v="33"/>
    <d v="2011-11-09T00:00:00"/>
    <n v="48.297636099999998"/>
  </r>
  <r>
    <x v="5"/>
    <s v="Metro"/>
    <n v="21.855"/>
    <n v="5.16"/>
    <x v="0"/>
    <n v="9.2349999999999994"/>
    <n v="1"/>
    <n v="55"/>
    <n v="93.1"/>
    <n v="62.6"/>
    <n v="149.4"/>
    <n v="1.895"/>
    <n v="10.3"/>
    <n v="45"/>
    <s v="4/13/2012"/>
    <n v="23.276272330000001"/>
  </r>
  <r>
    <x v="5"/>
    <s v="Impala"/>
    <n v="107.995"/>
    <m/>
    <x v="0"/>
    <n v="18.89"/>
    <n v="3.4"/>
    <n v="180"/>
    <n v="110.5"/>
    <n v="73"/>
    <n v="200"/>
    <n v="3.3889999999999998"/>
    <n v="17"/>
    <n v="27"/>
    <s v="6/18/2011"/>
    <n v="71.838039440000003"/>
  </r>
  <r>
    <x v="6"/>
    <s v="Sebring Coupe"/>
    <n v="7.8540000000000001"/>
    <n v="12.36"/>
    <x v="0"/>
    <n v="19.84"/>
    <n v="2.5"/>
    <n v="163"/>
    <n v="103.7"/>
    <n v="69.7"/>
    <n v="190.9"/>
    <n v="2.9670000000000001"/>
    <n v="15.9"/>
    <n v="24"/>
    <s v="1/16/2012"/>
    <n v="65.957183959999995"/>
  </r>
  <r>
    <x v="6"/>
    <s v="Sebring Conv."/>
    <n v="32.774999999999999"/>
    <n v="14.18"/>
    <x v="0"/>
    <n v="24.495000000000001"/>
    <n v="2.5"/>
    <n v="168"/>
    <n v="106"/>
    <n v="69.2"/>
    <n v="193"/>
    <n v="3.3319999999999999"/>
    <n v="16"/>
    <n v="24"/>
    <s v="11/17/2011"/>
    <n v="69.521355049999997"/>
  </r>
  <r>
    <x v="6"/>
    <s v="Concorde"/>
    <n v="31.148"/>
    <n v="13.725"/>
    <x v="0"/>
    <n v="22.245000000000001"/>
    <n v="2.7"/>
    <n v="200"/>
    <n v="113"/>
    <n v="74.400000000000006"/>
    <n v="209.1"/>
    <n v="3.452"/>
    <n v="17"/>
    <n v="26"/>
    <d v="2012-06-06T00:00:00"/>
    <n v="80.02378204"/>
  </r>
  <r>
    <x v="6"/>
    <s v="Cirrus"/>
    <n v="32.305999999999997"/>
    <n v="12.64"/>
    <x v="0"/>
    <n v="16.48"/>
    <n v="2"/>
    <n v="132"/>
    <n v="108"/>
    <n v="71"/>
    <n v="186"/>
    <n v="2.911"/>
    <n v="16"/>
    <n v="27"/>
    <d v="2011-06-10T00:00:00"/>
    <n v="53.566199869999998"/>
  </r>
  <r>
    <x v="6"/>
    <s v="LHS"/>
    <n v="13.462"/>
    <n v="17.324999999999999"/>
    <x v="0"/>
    <n v="28.34"/>
    <n v="3.5"/>
    <n v="253"/>
    <n v="113"/>
    <n v="74.400000000000006"/>
    <n v="207.7"/>
    <n v="3.5640000000000001"/>
    <n v="17"/>
    <n v="23"/>
    <d v="2012-08-05T00:00:00"/>
    <n v="101.3292807"/>
  </r>
  <r>
    <x v="6"/>
    <s v="Town &amp; Country"/>
    <n v="53.48"/>
    <n v="19.54"/>
    <x v="1"/>
    <m/>
    <m/>
    <m/>
    <m/>
    <m/>
    <m/>
    <m/>
    <m/>
    <m/>
    <s v="7/13/2011"/>
    <m/>
  </r>
  <r>
    <x v="6"/>
    <s v="300M"/>
    <n v="30.696000000000002"/>
    <m/>
    <x v="0"/>
    <n v="29.184999999999999"/>
    <n v="3.5"/>
    <n v="253"/>
    <n v="113"/>
    <n v="74.400000000000006"/>
    <n v="197.8"/>
    <n v="3.5670000000000002"/>
    <n v="17"/>
    <n v="23"/>
    <d v="2012-10-02T00:00:00"/>
    <n v="101.6552441"/>
  </r>
  <r>
    <x v="7"/>
    <s v="Neon"/>
    <n v="76.034000000000006"/>
    <n v="7.75"/>
    <x v="0"/>
    <n v="12.64"/>
    <n v="2"/>
    <n v="132"/>
    <n v="105"/>
    <n v="74.400000000000006"/>
    <n v="174.4"/>
    <n v="2.5670000000000002"/>
    <n v="12.5"/>
    <n v="29"/>
    <d v="2011-12-12T00:00:00"/>
    <n v="52.084898750000001"/>
  </r>
  <r>
    <x v="7"/>
    <s v="Avenger"/>
    <n v="4.734"/>
    <n v="12.545"/>
    <x v="0"/>
    <n v="19.045000000000002"/>
    <n v="2.5"/>
    <n v="163"/>
    <n v="103.7"/>
    <n v="69.099999999999994"/>
    <n v="190.2"/>
    <n v="2.879"/>
    <n v="15.9"/>
    <n v="24"/>
    <d v="2012-01-07T00:00:00"/>
    <n v="65.650508340000002"/>
  </r>
  <r>
    <x v="7"/>
    <s v="Stratus"/>
    <n v="71.186000000000007"/>
    <n v="10.185"/>
    <x v="0"/>
    <n v="20.23"/>
    <n v="2.5"/>
    <n v="168"/>
    <n v="108"/>
    <n v="71"/>
    <n v="186"/>
    <n v="3.0579999999999998"/>
    <n v="16"/>
    <n v="24"/>
    <s v="10/31/2011"/>
    <n v="67.876107840000003"/>
  </r>
  <r>
    <x v="7"/>
    <s v="Intrepid"/>
    <n v="88.028000000000006"/>
    <n v="12.275"/>
    <x v="0"/>
    <n v="22.504999999999999"/>
    <n v="2.7"/>
    <n v="202"/>
    <n v="113"/>
    <n v="74.7"/>
    <n v="203.7"/>
    <n v="3.4889999999999999"/>
    <n v="17"/>
    <m/>
    <d v="2012-02-06T00:00:00"/>
    <n v="80.831470170000003"/>
  </r>
  <r>
    <x v="7"/>
    <s v="Viper"/>
    <n v="0.91600000000000004"/>
    <n v="58.47"/>
    <x v="0"/>
    <n v="69.724999999999994"/>
    <n v="8"/>
    <n v="450"/>
    <n v="96.2"/>
    <n v="75.7"/>
    <n v="176.7"/>
    <n v="3.375"/>
    <n v="19"/>
    <n v="16"/>
    <d v="2011-07-08T00:00:00"/>
    <n v="188.14432300000001"/>
  </r>
  <r>
    <x v="7"/>
    <s v="Ram Pickup"/>
    <n v="227.06100000000001"/>
    <n v="15.06"/>
    <x v="1"/>
    <n v="19.46"/>
    <n v="5.2"/>
    <n v="230"/>
    <n v="138.69999999999999"/>
    <n v="79.3"/>
    <n v="224.2"/>
    <n v="4.47"/>
    <n v="26"/>
    <n v="17"/>
    <d v="2012-06-03T00:00:00"/>
    <n v="90.211700050000005"/>
  </r>
  <r>
    <x v="7"/>
    <s v="Ram Wagon"/>
    <n v="16.766999999999999"/>
    <n v="15.51"/>
    <x v="1"/>
    <n v="21.315000000000001"/>
    <n v="3.9"/>
    <n v="175"/>
    <n v="109.6"/>
    <n v="78.8"/>
    <n v="192.6"/>
    <n v="4.2450000000000001"/>
    <n v="32"/>
    <n v="15"/>
    <d v="2012-06-01T00:00:00"/>
    <n v="71.135291609999996"/>
  </r>
  <r>
    <x v="7"/>
    <s v="Ram Van"/>
    <n v="31.038"/>
    <n v="13.425000000000001"/>
    <x v="1"/>
    <n v="18.574999999999999"/>
    <n v="3.9"/>
    <n v="175"/>
    <n v="127.2"/>
    <n v="78.8"/>
    <n v="208.5"/>
    <n v="4.298"/>
    <n v="32"/>
    <n v="16"/>
    <s v="7/26/2012"/>
    <n v="70.078321540000005"/>
  </r>
  <r>
    <x v="7"/>
    <s v="Dakota"/>
    <n v="111.313"/>
    <n v="11.26"/>
    <x v="1"/>
    <n v="16.98"/>
    <n v="2.5"/>
    <n v="120"/>
    <n v="131"/>
    <n v="71.5"/>
    <n v="215"/>
    <n v="3.5569999999999999"/>
    <n v="22"/>
    <n v="19"/>
    <s v="11/25/2011"/>
    <n v="49.64500177"/>
  </r>
  <r>
    <x v="7"/>
    <s v="Durango"/>
    <n v="101.32299999999999"/>
    <m/>
    <x v="1"/>
    <n v="26.31"/>
    <n v="5.2"/>
    <n v="230"/>
    <n v="115.7"/>
    <n v="71.7"/>
    <n v="193.5"/>
    <n v="4.3940000000000001"/>
    <n v="25"/>
    <n v="17"/>
    <s v="6/27/2012"/>
    <n v="92.85412522"/>
  </r>
  <r>
    <x v="7"/>
    <s v="Caravan"/>
    <n v="181.749"/>
    <n v="12.025"/>
    <x v="1"/>
    <n v="19.565000000000001"/>
    <n v="2.4"/>
    <n v="150"/>
    <n v="113.3"/>
    <n v="76.8"/>
    <n v="186.3"/>
    <n v="3.5329999999999999"/>
    <n v="20"/>
    <n v="24"/>
    <d v="2011-01-09T00:00:00"/>
    <n v="61.227000310000001"/>
  </r>
  <r>
    <x v="8"/>
    <s v="Escort"/>
    <n v="70.227000000000004"/>
    <n v="7.4249999999999998"/>
    <x v="0"/>
    <n v="12.07"/>
    <n v="2"/>
    <n v="110"/>
    <n v="98.4"/>
    <n v="67"/>
    <n v="174.7"/>
    <n v="2.468"/>
    <n v="12.7"/>
    <n v="30"/>
    <s v="3/31/2012"/>
    <n v="44.083709460000001"/>
  </r>
  <r>
    <x v="8"/>
    <s v="Mustang"/>
    <n v="113.369"/>
    <n v="12.76"/>
    <x v="0"/>
    <n v="21.56"/>
    <n v="3.8"/>
    <n v="190"/>
    <n v="101.3"/>
    <n v="73.099999999999994"/>
    <n v="183.2"/>
    <n v="3.2029999999999998"/>
    <n v="15.7"/>
    <n v="24"/>
    <s v="1/31/2012"/>
    <n v="76.509184559999994"/>
  </r>
  <r>
    <x v="8"/>
    <s v="Contour"/>
    <n v="35.067999999999998"/>
    <n v="8.8350000000000009"/>
    <x v="0"/>
    <n v="17.035"/>
    <n v="2.5"/>
    <n v="170"/>
    <n v="106.5"/>
    <n v="69.099999999999994"/>
    <n v="184.6"/>
    <n v="2.7690000000000001"/>
    <n v="15"/>
    <n v="25"/>
    <s v="8/20/2012"/>
    <n v="67.351010720000005"/>
  </r>
  <r>
    <x v="8"/>
    <s v="Taurus"/>
    <n v="245.815"/>
    <n v="10.055"/>
    <x v="0"/>
    <n v="17.885000000000002"/>
    <n v="3"/>
    <n v="155"/>
    <n v="108.5"/>
    <n v="73"/>
    <n v="197.6"/>
    <n v="3.3679999999999999"/>
    <n v="16"/>
    <n v="24"/>
    <s v="12/20/2011"/>
    <n v="62.503739500000002"/>
  </r>
  <r>
    <x v="8"/>
    <s v="Focus"/>
    <n v="175.67"/>
    <m/>
    <x v="0"/>
    <n v="12.315"/>
    <n v="2"/>
    <n v="107"/>
    <n v="103"/>
    <n v="66.900000000000006"/>
    <n v="174.8"/>
    <n v="2.5640000000000001"/>
    <n v="13.2"/>
    <n v="30"/>
    <s v="7/22/2012"/>
    <n v="43.117132009999999"/>
  </r>
  <r>
    <x v="8"/>
    <s v="Crown Victoria"/>
    <n v="63.402999999999999"/>
    <n v="14.21"/>
    <x v="0"/>
    <n v="22.195"/>
    <n v="4.5999999999999996"/>
    <n v="200"/>
    <n v="114.7"/>
    <n v="78.2"/>
    <n v="212"/>
    <n v="3.9079999999999999"/>
    <n v="19"/>
    <n v="21"/>
    <s v="9/26/2011"/>
    <n v="80.499536710000001"/>
  </r>
  <r>
    <x v="8"/>
    <s v="Explorer"/>
    <n v="276.74700000000001"/>
    <n v="16.64"/>
    <x v="1"/>
    <n v="31.93"/>
    <n v="4"/>
    <n v="210"/>
    <n v="111.6"/>
    <n v="70.2"/>
    <n v="190.7"/>
    <n v="3.8759999999999999"/>
    <n v="21"/>
    <n v="19"/>
    <s v="4/25/2012"/>
    <n v="87.635495779999999"/>
  </r>
  <r>
    <x v="8"/>
    <s v="Windstar"/>
    <n v="155.78700000000001"/>
    <n v="13.175000000000001"/>
    <x v="1"/>
    <n v="21.41"/>
    <n v="3"/>
    <n v="150"/>
    <n v="120.7"/>
    <n v="76.599999999999994"/>
    <n v="200.9"/>
    <n v="3.7610000000000001"/>
    <n v="26"/>
    <n v="21"/>
    <s v="2/25/2012"/>
    <n v="62.095048390000002"/>
  </r>
  <r>
    <x v="8"/>
    <s v="Expedition"/>
    <n v="125.33799999999999"/>
    <n v="23.574999999999999"/>
    <x v="1"/>
    <n v="36.134999999999998"/>
    <n v="4.5999999999999996"/>
    <n v="240"/>
    <n v="119"/>
    <n v="78.7"/>
    <n v="204.6"/>
    <n v="4.8079999999999998"/>
    <n v="26"/>
    <n v="16"/>
    <s v="9/14/2012"/>
    <n v="100.0248023"/>
  </r>
  <r>
    <x v="8"/>
    <s v="Ranger"/>
    <n v="220.65"/>
    <n v="7.85"/>
    <x v="1"/>
    <n v="12.05"/>
    <n v="2.5"/>
    <n v="119"/>
    <n v="117.5"/>
    <n v="69.400000000000006"/>
    <n v="200.7"/>
    <n v="3.0859999999999999"/>
    <n v="20"/>
    <n v="23"/>
    <s v="1/14/2012"/>
    <n v="47.389531310000002"/>
  </r>
  <r>
    <x v="8"/>
    <s v="F-Series"/>
    <n v="540.56100000000004"/>
    <n v="15.074999999999999"/>
    <x v="1"/>
    <n v="26.934999999999999"/>
    <n v="4.5999999999999996"/>
    <n v="220"/>
    <n v="138.5"/>
    <n v="79.099999999999994"/>
    <n v="224.5"/>
    <n v="4.2409999999999997"/>
    <n v="25.1"/>
    <n v="18"/>
    <s v="8/16/2012"/>
    <n v="89.401934729999994"/>
  </r>
  <r>
    <x v="9"/>
    <s v="Civic"/>
    <n v="199.685"/>
    <n v="9.85"/>
    <x v="0"/>
    <n v="12.885"/>
    <n v="1.6"/>
    <n v="106"/>
    <n v="103.2"/>
    <n v="67.099999999999994"/>
    <n v="175.1"/>
    <n v="2.339"/>
    <n v="11.9"/>
    <n v="32"/>
    <s v="10/21/2011"/>
    <n v="42.879097340000001"/>
  </r>
  <r>
    <x v="9"/>
    <s v="Accord"/>
    <n v="230.90199999999999"/>
    <n v="13.21"/>
    <x v="0"/>
    <n v="15.35"/>
    <n v="2.2999999999999998"/>
    <n v="135"/>
    <n v="106.9"/>
    <n v="70.3"/>
    <n v="188.8"/>
    <n v="2.9319999999999999"/>
    <n v="17.100000000000001"/>
    <n v="27"/>
    <s v="5/20/2012"/>
    <n v="54.269548290000003"/>
  </r>
  <r>
    <x v="9"/>
    <s v="CR-V"/>
    <n v="73.203000000000003"/>
    <n v="17.71"/>
    <x v="1"/>
    <n v="20.55"/>
    <n v="2"/>
    <n v="146"/>
    <n v="103.2"/>
    <n v="68.900000000000006"/>
    <n v="177.6"/>
    <n v="3.2189999999999999"/>
    <n v="15.3"/>
    <n v="24"/>
    <s v="3/21/2012"/>
    <n v="60.087966620000003"/>
  </r>
  <r>
    <x v="9"/>
    <s v="Passport"/>
    <n v="12.855"/>
    <n v="17.524999999999999"/>
    <x v="1"/>
    <n v="26.6"/>
    <n v="3.2"/>
    <n v="205"/>
    <n v="106.4"/>
    <n v="70.400000000000006"/>
    <n v="178.2"/>
    <n v="3.8570000000000002"/>
    <n v="21.1"/>
    <n v="19"/>
    <d v="2012-09-10T00:00:00"/>
    <n v="83.602500800000001"/>
  </r>
  <r>
    <x v="9"/>
    <s v="Odyssey"/>
    <n v="76.028999999999996"/>
    <n v="19.489999999999998"/>
    <x v="1"/>
    <n v="26"/>
    <n v="3.5"/>
    <n v="210"/>
    <n v="118.1"/>
    <n v="75.599999999999994"/>
    <n v="201.2"/>
    <n v="4.2880000000000003"/>
    <n v="20"/>
    <n v="23"/>
    <d v="2012-08-02T00:00:00"/>
    <n v="85.217691340000002"/>
  </r>
  <r>
    <x v="10"/>
    <s v="Accent"/>
    <n v="41.183999999999997"/>
    <n v="5.86"/>
    <x v="0"/>
    <n v="9.6989999999999998"/>
    <n v="1.5"/>
    <n v="92"/>
    <n v="96.1"/>
    <n v="65.7"/>
    <n v="166.7"/>
    <n v="2.2400000000000002"/>
    <n v="11.9"/>
    <n v="31"/>
    <d v="2012-10-09T00:00:00"/>
    <n v="36.672283579999998"/>
  </r>
  <r>
    <x v="10"/>
    <s v="Elantra"/>
    <n v="66.691999999999993"/>
    <n v="7.8250000000000002"/>
    <x v="0"/>
    <n v="11.798999999999999"/>
    <n v="2"/>
    <n v="140"/>
    <n v="100.4"/>
    <n v="66.900000000000006"/>
    <n v="174"/>
    <n v="2.6259999999999999"/>
    <n v="14.5"/>
    <n v="27"/>
    <s v="11/15/2011"/>
    <n v="54.590045160000003"/>
  </r>
  <r>
    <x v="10"/>
    <s v="Sonata"/>
    <n v="29.45"/>
    <n v="8.91"/>
    <x v="0"/>
    <n v="14.999000000000001"/>
    <n v="2.4"/>
    <n v="148"/>
    <n v="106.3"/>
    <n v="71.599999999999994"/>
    <n v="185.4"/>
    <n v="3.0720000000000001"/>
    <n v="17.2"/>
    <n v="25"/>
    <s v="6/14/2012"/>
    <n v="58.758248999999999"/>
  </r>
  <r>
    <x v="11"/>
    <s v="I30"/>
    <n v="23.713000000000001"/>
    <n v="19.690000000000001"/>
    <x v="0"/>
    <n v="29.465"/>
    <n v="3"/>
    <n v="227"/>
    <n v="108.3"/>
    <n v="70.2"/>
    <n v="193.7"/>
    <n v="3.3420000000000001"/>
    <n v="18.5"/>
    <n v="25"/>
    <s v="4/15/2012"/>
    <n v="92.436889230000006"/>
  </r>
  <r>
    <x v="12"/>
    <s v="S-Type"/>
    <n v="15.467000000000001"/>
    <m/>
    <x v="0"/>
    <n v="42.8"/>
    <n v="3"/>
    <n v="240"/>
    <n v="114.5"/>
    <n v="71.599999999999994"/>
    <n v="191.3"/>
    <n v="3.65"/>
    <n v="18.399999999999999"/>
    <n v="21"/>
    <d v="2012-03-11T00:00:00"/>
    <n v="102.17898479999999"/>
  </r>
  <r>
    <x v="13"/>
    <s v="Wrangler"/>
    <n v="55.557000000000002"/>
    <n v="13.475"/>
    <x v="1"/>
    <n v="14.46"/>
    <n v="2.5"/>
    <n v="120"/>
    <n v="93.4"/>
    <n v="66.7"/>
    <n v="152"/>
    <n v="3.0449999999999999"/>
    <n v="19"/>
    <n v="17"/>
    <d v="2012-04-03T00:00:00"/>
    <n v="48.672897910000003"/>
  </r>
  <r>
    <x v="13"/>
    <s v="Cherokee"/>
    <n v="80.555999999999997"/>
    <n v="13.775"/>
    <x v="1"/>
    <n v="21.62"/>
    <n v="4"/>
    <n v="190"/>
    <n v="101.4"/>
    <n v="69.400000000000006"/>
    <n v="167.5"/>
    <n v="3.194"/>
    <n v="20"/>
    <n v="20"/>
    <d v="2012-05-10T00:00:00"/>
    <n v="76.584439619999998"/>
  </r>
  <r>
    <x v="13"/>
    <s v="Grand Cherokee"/>
    <n v="157.04"/>
    <n v="18.809999999999999"/>
    <x v="1"/>
    <n v="26.895"/>
    <n v="4"/>
    <n v="195"/>
    <n v="105.9"/>
    <n v="72.3"/>
    <n v="181.5"/>
    <n v="3.88"/>
    <n v="20.5"/>
    <n v="19"/>
    <d v="2011-10-12T00:00:00"/>
    <n v="80.387779120000005"/>
  </r>
  <r>
    <x v="14"/>
    <s v="ES300"/>
    <n v="24.071999999999999"/>
    <n v="26.975000000000001"/>
    <x v="0"/>
    <n v="31.504999999999999"/>
    <n v="3"/>
    <n v="210"/>
    <n v="105.1"/>
    <n v="70.5"/>
    <n v="190.2"/>
    <n v="3.3730000000000002"/>
    <n v="18.5"/>
    <n v="23"/>
    <d v="2012-09-07T00:00:00"/>
    <n v="87.211001039999999"/>
  </r>
  <r>
    <x v="14"/>
    <s v="GS300"/>
    <n v="12.698"/>
    <n v="32.075000000000003"/>
    <x v="0"/>
    <n v="37.805"/>
    <n v="3"/>
    <n v="225"/>
    <n v="110.2"/>
    <n v="70.900000000000006"/>
    <n v="189.2"/>
    <n v="3.6379999999999999"/>
    <n v="19.8"/>
    <n v="23"/>
    <d v="2012-10-05T00:00:00"/>
    <n v="94.946698400000002"/>
  </r>
  <r>
    <x v="14"/>
    <s v="GS400"/>
    <n v="3.3340000000000001"/>
    <m/>
    <x v="0"/>
    <n v="46.305"/>
    <n v="4"/>
    <n v="300"/>
    <n v="110.2"/>
    <n v="70.900000000000006"/>
    <n v="189.2"/>
    <n v="3.6930000000000001"/>
    <n v="19.8"/>
    <n v="21"/>
    <s v="11/28/2012"/>
    <n v="125.0133574"/>
  </r>
  <r>
    <x v="14"/>
    <s v="LS400"/>
    <n v="6.375"/>
    <n v="40.375"/>
    <x v="0"/>
    <n v="54.005000000000003"/>
    <n v="4"/>
    <n v="290"/>
    <n v="112.2"/>
    <n v="72"/>
    <n v="196.7"/>
    <n v="3.89"/>
    <n v="22.5"/>
    <n v="22"/>
    <s v="3/29/2012"/>
    <n v="124.44671630000001"/>
  </r>
  <r>
    <x v="14"/>
    <s v="LX470"/>
    <n v="9.1259999999999994"/>
    <m/>
    <x v="1"/>
    <n v="60.104999999999997"/>
    <n v="4.7"/>
    <n v="230"/>
    <n v="112.2"/>
    <n v="76.400000000000006"/>
    <n v="192.5"/>
    <n v="5.4009999999999998"/>
    <n v="25.4"/>
    <n v="15"/>
    <s v="10/30/2012"/>
    <n v="105.760458"/>
  </r>
  <r>
    <x v="14"/>
    <s v="RX300"/>
    <n v="51.238"/>
    <m/>
    <x v="1"/>
    <n v="34.604999999999997"/>
    <n v="3"/>
    <n v="220"/>
    <n v="103"/>
    <n v="71.5"/>
    <n v="180.1"/>
    <n v="3.9"/>
    <n v="17.2"/>
    <n v="21"/>
    <d v="2012-04-01T00:00:00"/>
    <n v="91.943801559999997"/>
  </r>
  <r>
    <x v="15"/>
    <s v="Continental"/>
    <n v="13.798"/>
    <n v="20.524999999999999"/>
    <x v="0"/>
    <n v="39.08"/>
    <n v="4.5999999999999996"/>
    <n v="275"/>
    <n v="109"/>
    <n v="73.599999999999994"/>
    <n v="208.5"/>
    <n v="3.8679999999999999"/>
    <n v="20"/>
    <n v="22"/>
    <d v="2012-03-08T00:00:00"/>
    <n v="113.5402069"/>
  </r>
  <r>
    <x v="15"/>
    <s v="Town car"/>
    <n v="48.911000000000001"/>
    <n v="21.725000000000001"/>
    <x v="0"/>
    <n v="43.33"/>
    <n v="4.5999999999999996"/>
    <n v="215"/>
    <n v="117.7"/>
    <n v="78.2"/>
    <n v="215.3"/>
    <n v="4.1210000000000004"/>
    <n v="19"/>
    <n v="21"/>
    <d v="2012-04-06T00:00:00"/>
    <n v="93.957916900000001"/>
  </r>
  <r>
    <x v="15"/>
    <s v="Navigator"/>
    <n v="22.925000000000001"/>
    <m/>
    <x v="1"/>
    <n v="42.66"/>
    <n v="5.4"/>
    <n v="300"/>
    <n v="119"/>
    <n v="79.900000000000006"/>
    <n v="204.8"/>
    <n v="5.3929999999999998"/>
    <n v="30"/>
    <n v="15"/>
    <s v="12/23/2012"/>
    <n v="123.97204670000001"/>
  </r>
  <r>
    <x v="16"/>
    <s v="Mirage"/>
    <n v="26.231999999999999"/>
    <n v="8.3249999999999993"/>
    <x v="0"/>
    <n v="13.987"/>
    <n v="1.8"/>
    <n v="113"/>
    <n v="98.4"/>
    <n v="66.5"/>
    <n v="173.6"/>
    <n v="2.25"/>
    <n v="13.2"/>
    <n v="30"/>
    <s v="4/23/2012"/>
    <n v="45.832180559999998"/>
  </r>
  <r>
    <x v="16"/>
    <s v="Eclipse"/>
    <n v="42.540999999999997"/>
    <n v="10.395"/>
    <x v="0"/>
    <n v="19.047000000000001"/>
    <n v="2.4"/>
    <n v="154"/>
    <n v="100.8"/>
    <n v="68.900000000000006"/>
    <n v="175.4"/>
    <n v="2.91"/>
    <n v="15.9"/>
    <n v="24"/>
    <s v="11/24/2012"/>
    <n v="62.441962349999997"/>
  </r>
  <r>
    <x v="16"/>
    <s v="Galant"/>
    <n v="55.616"/>
    <n v="10.595000000000001"/>
    <x v="0"/>
    <n v="17.356999999999999"/>
    <n v="2.4"/>
    <n v="145"/>
    <n v="103.7"/>
    <n v="68.5"/>
    <n v="187.8"/>
    <n v="2.9449999999999998"/>
    <n v="16.3"/>
    <n v="25"/>
    <s v="1/29/2012"/>
    <n v="58.606772919999997"/>
  </r>
  <r>
    <x v="16"/>
    <s v="Diamante"/>
    <n v="5.7110000000000003"/>
    <n v="16.574999999999999"/>
    <x v="0"/>
    <n v="24.997"/>
    <n v="3.5"/>
    <n v="210"/>
    <n v="107.1"/>
    <n v="70.3"/>
    <n v="194.1"/>
    <n v="3.4430000000000001"/>
    <n v="19"/>
    <n v="22"/>
    <s v="8/28/2012"/>
    <n v="84.83077858"/>
  </r>
  <r>
    <x v="16"/>
    <s v="3000GT"/>
    <n v="0.11"/>
    <n v="20.94"/>
    <x v="0"/>
    <n v="25.45"/>
    <n v="3"/>
    <n v="161"/>
    <n v="97.2"/>
    <n v="72.400000000000006"/>
    <n v="180.3"/>
    <n v="3.1309999999999998"/>
    <n v="19.8"/>
    <n v="21"/>
    <s v="6/29/2012"/>
    <n v="67.544154939999999"/>
  </r>
  <r>
    <x v="16"/>
    <s v="Montero"/>
    <n v="11.337"/>
    <n v="19.125"/>
    <x v="1"/>
    <n v="31.806999999999999"/>
    <n v="3.5"/>
    <n v="200"/>
    <n v="107.3"/>
    <n v="69.900000000000006"/>
    <n v="186.6"/>
    <n v="4.5199999999999996"/>
    <n v="24.3"/>
    <n v="18"/>
    <s v="1/17/2012"/>
    <n v="83.920815039999994"/>
  </r>
  <r>
    <x v="16"/>
    <s v="Montero Sport"/>
    <n v="39.347999999999999"/>
    <n v="13.88"/>
    <x v="1"/>
    <n v="22.527000000000001"/>
    <n v="3"/>
    <n v="173"/>
    <n v="107.3"/>
    <n v="66.7"/>
    <n v="178.3"/>
    <n v="3.51"/>
    <n v="19.5"/>
    <n v="20"/>
    <s v="5/18/2012"/>
    <n v="70.660941789999995"/>
  </r>
  <r>
    <x v="17"/>
    <s v="Mystique"/>
    <n v="14.351000000000001"/>
    <n v="8.8000000000000007"/>
    <x v="0"/>
    <n v="16.239999999999998"/>
    <n v="2"/>
    <n v="125"/>
    <n v="106.5"/>
    <n v="69.099999999999994"/>
    <n v="184.8"/>
    <n v="2.7690000000000001"/>
    <n v="15"/>
    <n v="28"/>
    <s v="12/19/2012"/>
    <n v="50.997747609999998"/>
  </r>
  <r>
    <x v="17"/>
    <s v="Cougar"/>
    <n v="26.529"/>
    <n v="13.89"/>
    <x v="0"/>
    <n v="16.54"/>
    <n v="2"/>
    <n v="125"/>
    <n v="106.4"/>
    <n v="69.599999999999994"/>
    <n v="185"/>
    <n v="2.8919999999999999"/>
    <n v="16"/>
    <n v="30"/>
    <s v="2/23/2012"/>
    <n v="51.113474259999997"/>
  </r>
  <r>
    <x v="17"/>
    <s v="Sable"/>
    <n v="67.956000000000003"/>
    <n v="11.03"/>
    <x v="0"/>
    <n v="19.035"/>
    <n v="3"/>
    <n v="153"/>
    <n v="108.5"/>
    <n v="73"/>
    <n v="199.7"/>
    <n v="3.379"/>
    <n v="16"/>
    <n v="24"/>
    <s v="9/22/2012"/>
    <n v="62.239966629999998"/>
  </r>
  <r>
    <x v="17"/>
    <s v="Grand Marquis"/>
    <n v="81.174000000000007"/>
    <n v="14.875"/>
    <x v="0"/>
    <n v="22.605"/>
    <n v="4.5999999999999996"/>
    <n v="200"/>
    <n v="114.7"/>
    <n v="78.2"/>
    <n v="212"/>
    <n v="3.9580000000000002"/>
    <n v="19"/>
    <n v="21"/>
    <s v="7/24/2012"/>
    <n v="80.657696459999997"/>
  </r>
  <r>
    <x v="17"/>
    <s v="Mountaineer"/>
    <n v="27.609000000000002"/>
    <n v="20.43"/>
    <x v="1"/>
    <n v="27.56"/>
    <n v="4"/>
    <n v="210"/>
    <n v="111.6"/>
    <n v="70.2"/>
    <n v="190.1"/>
    <n v="3.8759999999999999"/>
    <n v="21"/>
    <n v="18"/>
    <s v="2/13/2008"/>
    <n v="85.949744249999995"/>
  </r>
  <r>
    <x v="17"/>
    <s v="Villager"/>
    <n v="20.38"/>
    <n v="14.795"/>
    <x v="1"/>
    <n v="22.51"/>
    <n v="3.3"/>
    <n v="170"/>
    <n v="112.2"/>
    <n v="74.900000000000006"/>
    <n v="194.7"/>
    <n v="3.944"/>
    <n v="20"/>
    <n v="21"/>
    <s v="10/20/2009"/>
    <n v="69.671460999999994"/>
  </r>
  <r>
    <x v="18"/>
    <s v="C-Class"/>
    <n v="18.391999999999999"/>
    <n v="26.05"/>
    <x v="0"/>
    <n v="31.75"/>
    <n v="2.2999999999999998"/>
    <n v="185"/>
    <n v="105.9"/>
    <n v="67.7"/>
    <n v="177.4"/>
    <n v="3.25"/>
    <n v="16.399999999999999"/>
    <n v="26"/>
    <s v="4/24/2011"/>
    <n v="78.280730879999993"/>
  </r>
  <r>
    <x v="18"/>
    <s v="E-Class"/>
    <n v="27.602"/>
    <n v="41.45"/>
    <x v="0"/>
    <n v="49.9"/>
    <n v="3.2"/>
    <n v="221"/>
    <n v="111.5"/>
    <n v="70.8"/>
    <n v="189.4"/>
    <n v="3.823"/>
    <n v="21.1"/>
    <n v="25"/>
    <d v="2011-12-07T00:00:00"/>
    <n v="98.249737499999995"/>
  </r>
  <r>
    <x v="18"/>
    <s v="S-Class"/>
    <n v="16.774000000000001"/>
    <n v="50.375"/>
    <x v="0"/>
    <n v="69.7"/>
    <n v="4.3"/>
    <n v="275"/>
    <n v="121.5"/>
    <n v="73.099999999999994"/>
    <n v="203.1"/>
    <n v="4.133"/>
    <n v="23.2"/>
    <n v="21"/>
    <s v="6/13/2011"/>
    <n v="125.2738757"/>
  </r>
  <r>
    <x v="18"/>
    <s v="SL-Class"/>
    <n v="3.3109999999999999"/>
    <n v="58.6"/>
    <x v="0"/>
    <n v="82.6"/>
    <n v="5"/>
    <n v="302"/>
    <n v="99"/>
    <n v="71.3"/>
    <n v="177.1"/>
    <n v="4.125"/>
    <n v="21.1"/>
    <n v="20"/>
    <s v="3/17/2011"/>
    <n v="139.98229359999999"/>
  </r>
  <r>
    <x v="18"/>
    <s v="SLK"/>
    <n v="7.9980000000000002"/>
    <m/>
    <x v="0"/>
    <n v="38.9"/>
    <n v="2.2999999999999998"/>
    <n v="190"/>
    <n v="94.5"/>
    <n v="67.5"/>
    <n v="157.9"/>
    <n v="3.0550000000000002"/>
    <n v="15.9"/>
    <n v="26"/>
    <s v="1/16/2011"/>
    <n v="82.807361929999999"/>
  </r>
  <r>
    <x v="18"/>
    <s v="SLK230"/>
    <n v="1.526"/>
    <m/>
    <x v="0"/>
    <n v="41"/>
    <n v="2.2999999999999998"/>
    <n v="185"/>
    <n v="94.5"/>
    <n v="67.5"/>
    <n v="157.30000000000001"/>
    <n v="2.9750000000000001"/>
    <n v="14"/>
    <n v="27"/>
    <d v="2011-06-08T00:00:00"/>
    <n v="81.848969240000002"/>
  </r>
  <r>
    <x v="18"/>
    <s v="CLK Coupe"/>
    <n v="11.592000000000001"/>
    <m/>
    <x v="0"/>
    <n v="41.6"/>
    <n v="3.2"/>
    <n v="215"/>
    <n v="105.9"/>
    <n v="67.8"/>
    <n v="180.3"/>
    <n v="3.2130000000000001"/>
    <n v="16.399999999999999"/>
    <n v="26"/>
    <d v="2011-08-07T00:00:00"/>
    <n v="92.925791770000004"/>
  </r>
  <r>
    <x v="18"/>
    <s v="CL500"/>
    <n v="0.95399999999999996"/>
    <m/>
    <x v="0"/>
    <n v="85.5"/>
    <n v="5"/>
    <n v="302"/>
    <n v="113.6"/>
    <n v="73.099999999999994"/>
    <n v="196.6"/>
    <n v="4.1150000000000002"/>
    <n v="23.2"/>
    <n v="20"/>
    <d v="2011-11-04T00:00:00"/>
    <n v="141.10098450000001"/>
  </r>
  <r>
    <x v="18"/>
    <s v="M-Class"/>
    <n v="28.975999999999999"/>
    <m/>
    <x v="1"/>
    <n v="35.299999999999997"/>
    <n v="3.2"/>
    <n v="215"/>
    <n v="111"/>
    <n v="72.2"/>
    <n v="180.6"/>
    <n v="4.3869999999999996"/>
    <n v="19"/>
    <n v="20"/>
    <d v="2011-10-02T00:00:00"/>
    <n v="90.495532130000001"/>
  </r>
  <r>
    <x v="19"/>
    <s v="Sentra"/>
    <n v="42.643000000000001"/>
    <n v="8.4499999999999993"/>
    <x v="0"/>
    <n v="13.499000000000001"/>
    <n v="1.8"/>
    <n v="126"/>
    <n v="99.8"/>
    <n v="67.3"/>
    <n v="177.5"/>
    <n v="2.593"/>
    <n v="13.2"/>
    <n v="30"/>
    <s v="8/31/2011"/>
    <n v="50.241977910000003"/>
  </r>
  <r>
    <x v="19"/>
    <s v="Altima"/>
    <n v="88.093999999999994"/>
    <n v="11.295"/>
    <x v="0"/>
    <n v="20.39"/>
    <n v="2.4"/>
    <n v="155"/>
    <n v="103.1"/>
    <n v="69.099999999999994"/>
    <n v="183.5"/>
    <n v="3.012"/>
    <n v="15.9"/>
    <n v="25"/>
    <d v="2011-02-08T00:00:00"/>
    <n v="63.313727829999998"/>
  </r>
  <r>
    <x v="19"/>
    <s v="Maxima"/>
    <n v="79.852999999999994"/>
    <n v="15.125"/>
    <x v="0"/>
    <n v="26.248999999999999"/>
    <n v="3"/>
    <n v="222"/>
    <n v="108.3"/>
    <n v="70.3"/>
    <n v="190.5"/>
    <n v="3.294"/>
    <n v="18.5"/>
    <n v="25"/>
    <d v="2011-06-05T00:00:00"/>
    <n v="89.427820310000001"/>
  </r>
  <r>
    <x v="19"/>
    <s v="Quest"/>
    <n v="27.308"/>
    <n v="15.38"/>
    <x v="1"/>
    <n v="26.399000000000001"/>
    <n v="3.3"/>
    <n v="170"/>
    <n v="112.2"/>
    <n v="74.900000000000006"/>
    <n v="194.8"/>
    <n v="3.9910000000000001"/>
    <n v="20"/>
    <n v="21"/>
    <d v="2011-07-03T00:00:00"/>
    <n v="71.171664129999996"/>
  </r>
  <r>
    <x v="19"/>
    <s v="Pathfinder"/>
    <n v="42.573999999999998"/>
    <n v="17.809999999999999"/>
    <x v="1"/>
    <n v="29.298999999999999"/>
    <n v="3.3"/>
    <n v="170"/>
    <n v="106.3"/>
    <n v="71.7"/>
    <n v="182.6"/>
    <n v="3.9470000000000001"/>
    <n v="21"/>
    <n v="19"/>
    <s v="9/25/2011"/>
    <n v="72.290355079999998"/>
  </r>
  <r>
    <x v="19"/>
    <s v="Xterra"/>
    <n v="54.158000000000001"/>
    <m/>
    <x v="1"/>
    <n v="22.798999999999999"/>
    <n v="3.3"/>
    <n v="170"/>
    <n v="104.3"/>
    <n v="70.400000000000006"/>
    <n v="178"/>
    <n v="3.8210000000000002"/>
    <n v="19.399999999999999"/>
    <n v="18"/>
    <s v="1/24/2011"/>
    <n v="69.78294434"/>
  </r>
  <r>
    <x v="19"/>
    <s v="Frontier"/>
    <n v="65.004999999999995"/>
    <m/>
    <x v="1"/>
    <n v="17.89"/>
    <n v="3.3"/>
    <n v="170"/>
    <n v="116.1"/>
    <n v="66.5"/>
    <n v="196.1"/>
    <n v="3.2170000000000001"/>
    <n v="19.399999999999999"/>
    <n v="18"/>
    <s v="8/27/2011"/>
    <n v="67.889270589999995"/>
  </r>
  <r>
    <x v="20"/>
    <s v="Cutlass"/>
    <n v="1.1120000000000001"/>
    <n v="11.24"/>
    <x v="0"/>
    <n v="18.145"/>
    <n v="3.1"/>
    <n v="150"/>
    <n v="107"/>
    <n v="69.400000000000006"/>
    <n v="192"/>
    <n v="3.1019999999999999"/>
    <n v="15.2"/>
    <n v="25"/>
    <s v="5/31/2011"/>
    <n v="60.861611549999999"/>
  </r>
  <r>
    <x v="20"/>
    <s v="Intrigue"/>
    <n v="38.554000000000002"/>
    <m/>
    <x v="0"/>
    <n v="24.15"/>
    <n v="3.5"/>
    <n v="215"/>
    <n v="109"/>
    <n v="73.599999999999994"/>
    <n v="195.9"/>
    <n v="3.4550000000000001"/>
    <n v="18"/>
    <m/>
    <d v="2011-01-04T00:00:00"/>
    <n v="86.272522910000006"/>
  </r>
  <r>
    <x v="20"/>
    <s v="Alero"/>
    <n v="80.254999999999995"/>
    <m/>
    <x v="0"/>
    <n v="18.27"/>
    <n v="2.4"/>
    <n v="150"/>
    <n v="107"/>
    <n v="70.099999999999994"/>
    <n v="186.7"/>
    <n v="2.9580000000000002"/>
    <n v="15"/>
    <n v="27"/>
    <s v="10/20/2009"/>
    <n v="60.727446929999999"/>
  </r>
  <r>
    <x v="20"/>
    <s v="Aurora"/>
    <n v="14.69"/>
    <n v="19.89"/>
    <x v="0"/>
    <n v="36.228999999999999"/>
    <n v="4"/>
    <n v="250"/>
    <n v="113.8"/>
    <n v="74.400000000000006"/>
    <n v="205.4"/>
    <n v="3.9670000000000001"/>
    <n v="18.5"/>
    <n v="22"/>
    <s v="2/18/2011"/>
    <n v="103.4416926"/>
  </r>
  <r>
    <x v="20"/>
    <s v="Bravada"/>
    <n v="20.016999999999999"/>
    <n v="19.925000000000001"/>
    <x v="1"/>
    <n v="31.597999999999999"/>
    <n v="4.3"/>
    <n v="190"/>
    <n v="107"/>
    <n v="67.8"/>
    <n v="181.2"/>
    <n v="4.0679999999999996"/>
    <n v="17.5"/>
    <n v="19"/>
    <s v="9/21/2011"/>
    <n v="80.511672590000003"/>
  </r>
  <r>
    <x v="20"/>
    <s v="Silhouette"/>
    <n v="24.361000000000001"/>
    <n v="15.24"/>
    <x v="1"/>
    <n v="25.344999999999999"/>
    <n v="3.4"/>
    <n v="185"/>
    <n v="120"/>
    <n v="72.2"/>
    <n v="201.4"/>
    <n v="3.948"/>
    <n v="25"/>
    <n v="22"/>
    <s v="6/25/2011"/>
    <n v="76.096570420000006"/>
  </r>
  <r>
    <x v="21"/>
    <s v="Neon"/>
    <n v="32.734000000000002"/>
    <n v="7.75"/>
    <x v="0"/>
    <n v="12.64"/>
    <n v="2"/>
    <n v="132"/>
    <n v="105"/>
    <n v="74.400000000000006"/>
    <n v="174.4"/>
    <n v="2.5590000000000002"/>
    <n v="12.5"/>
    <n v="29"/>
    <s v="4/26/2011"/>
    <n v="52.084898750000001"/>
  </r>
  <r>
    <x v="21"/>
    <s v="Breeze"/>
    <n v="5.24"/>
    <n v="9.8000000000000007"/>
    <x v="0"/>
    <n v="16.079999999999998"/>
    <n v="2"/>
    <n v="132"/>
    <n v="108"/>
    <n v="71"/>
    <n v="186.3"/>
    <n v="2.9420000000000002"/>
    <n v="16"/>
    <n v="27"/>
    <s v="11/14/2011"/>
    <n v="53.411897670000002"/>
  </r>
  <r>
    <x v="21"/>
    <s v="Voyager"/>
    <n v="24.155000000000001"/>
    <n v="12.025"/>
    <x v="1"/>
    <n v="18.850000000000001"/>
    <n v="2.4"/>
    <n v="150"/>
    <n v="113.3"/>
    <n v="76.8"/>
    <n v="186.3"/>
    <n v="3.528"/>
    <n v="20"/>
    <n v="24"/>
    <s v="4/24/2011"/>
    <n v="60.951185119999998"/>
  </r>
  <r>
    <x v="21"/>
    <s v="Prowler"/>
    <n v="1.8720000000000001"/>
    <m/>
    <x v="0"/>
    <n v="43"/>
    <n v="3.5"/>
    <n v="253"/>
    <n v="113.3"/>
    <n v="76.3"/>
    <n v="165.4"/>
    <n v="2.85"/>
    <n v="12"/>
    <n v="21"/>
    <s v="6/27/2012"/>
    <n v="106.98445630000001"/>
  </r>
  <r>
    <x v="22"/>
    <s v="Sunfire"/>
    <n v="51.645000000000003"/>
    <n v="13.79"/>
    <x v="0"/>
    <n v="21.61"/>
    <n v="2.4"/>
    <n v="150"/>
    <n v="104.1"/>
    <n v="68.400000000000006"/>
    <n v="181.9"/>
    <n v="2.9060000000000001"/>
    <n v="15"/>
    <n v="27"/>
    <s v="1/25/2012"/>
    <n v="62.015870300000003"/>
  </r>
  <r>
    <x v="22"/>
    <s v="Grand Am"/>
    <n v="131.09700000000001"/>
    <n v="10.29"/>
    <x v="0"/>
    <n v="19.72"/>
    <n v="3.4"/>
    <n v="175"/>
    <n v="107"/>
    <n v="70.400000000000006"/>
    <n v="186.3"/>
    <n v="3.0910000000000002"/>
    <n v="15.2"/>
    <n v="25"/>
    <s v="11/26/2012"/>
    <n v="70.389737260000004"/>
  </r>
  <r>
    <x v="22"/>
    <s v="Firebird"/>
    <n v="19.911000000000001"/>
    <n v="17.805"/>
    <x v="0"/>
    <n v="25.31"/>
    <n v="3.8"/>
    <n v="200"/>
    <n v="101.1"/>
    <n v="74.5"/>
    <n v="193.4"/>
    <n v="3.492"/>
    <n v="16.8"/>
    <n v="25"/>
    <s v="6/16/2012"/>
    <n v="81.492726160000004"/>
  </r>
  <r>
    <x v="22"/>
    <s v="Grand Prix"/>
    <n v="92.364000000000004"/>
    <n v="14.01"/>
    <x v="0"/>
    <n v="21.664999999999999"/>
    <n v="3.8"/>
    <n v="195"/>
    <n v="110.5"/>
    <n v="72.7"/>
    <n v="196.5"/>
    <n v="3.3959999999999999"/>
    <n v="18"/>
    <n v="25"/>
    <s v="10/15/2012"/>
    <n v="78.318168130000004"/>
  </r>
  <r>
    <x v="22"/>
    <s v="Bonneville"/>
    <n v="35.945"/>
    <n v="13.225"/>
    <x v="0"/>
    <n v="23.754999999999999"/>
    <n v="3.8"/>
    <n v="205"/>
    <n v="112.2"/>
    <n v="72.599999999999994"/>
    <n v="202.5"/>
    <n v="3.59"/>
    <n v="17.5"/>
    <n v="24"/>
    <s v="5/18/2011"/>
    <n v="82.661355599999993"/>
  </r>
  <r>
    <x v="22"/>
    <s v="Montana"/>
    <n v="39.572000000000003"/>
    <m/>
    <x v="1"/>
    <n v="25.635000000000002"/>
    <n v="3.4"/>
    <n v="185"/>
    <n v="120"/>
    <n v="72.7"/>
    <n v="201.3"/>
    <n v="3.9420000000000002"/>
    <n v="25"/>
    <n v="23"/>
    <s v="7/22/2012"/>
    <n v="76.208439519999999"/>
  </r>
  <r>
    <x v="23"/>
    <s v="Boxter"/>
    <n v="8.9819999999999993"/>
    <n v="41.25"/>
    <x v="0"/>
    <n v="41.43"/>
    <n v="2.7"/>
    <n v="217"/>
    <n v="95.2"/>
    <n v="70.099999999999994"/>
    <n v="171"/>
    <n v="2.778"/>
    <n v="17"/>
    <n v="22"/>
    <s v="2/19/2012"/>
    <n v="93.437330700000004"/>
  </r>
  <r>
    <x v="23"/>
    <s v="Carrera Coupe"/>
    <n v="1.28"/>
    <n v="60.625"/>
    <x v="0"/>
    <n v="71.02"/>
    <n v="3.4"/>
    <n v="300"/>
    <n v="92.6"/>
    <n v="69.5"/>
    <n v="174.5"/>
    <n v="3.032"/>
    <n v="17"/>
    <n v="21"/>
    <s v="12/21/2012"/>
    <n v="134.3909754"/>
  </r>
  <r>
    <x v="23"/>
    <s v="Carrera Cabrio"/>
    <n v="1.8660000000000001"/>
    <n v="67.55"/>
    <x v="0"/>
    <n v="74.97"/>
    <n v="3.4"/>
    <n v="300"/>
    <n v="92.6"/>
    <n v="69.5"/>
    <n v="174.5"/>
    <n v="3.0750000000000002"/>
    <n v="17"/>
    <n v="23"/>
    <d v="2011-11-07T00:00:00"/>
    <n v="135.91470960000001"/>
  </r>
  <r>
    <x v="24"/>
    <d v="2026-09-05T00:00:00"/>
    <n v="9.1910000000000007"/>
    <m/>
    <x v="0"/>
    <n v="33.119999999999997"/>
    <n v="2.2999999999999998"/>
    <n v="170"/>
    <n v="106.4"/>
    <n v="70.599999999999994"/>
    <n v="189.2"/>
    <n v="3.28"/>
    <n v="18.5"/>
    <n v="23"/>
    <d v="2012-09-11T00:00:00"/>
    <n v="73.503778190000006"/>
  </r>
  <r>
    <x v="24"/>
    <d v="2026-09-03T00:00:00"/>
    <n v="12.115"/>
    <m/>
    <x v="0"/>
    <n v="26.1"/>
    <n v="2"/>
    <n v="185"/>
    <n v="102.6"/>
    <n v="67.400000000000006"/>
    <n v="182.2"/>
    <n v="2.99"/>
    <n v="16.899999999999999"/>
    <n v="23"/>
    <d v="2011-12-06T00:00:00"/>
    <n v="76.02304771"/>
  </r>
  <r>
    <x v="25"/>
    <s v="SL"/>
    <n v="80.62"/>
    <n v="9.1999999999999993"/>
    <x v="0"/>
    <n v="10.685"/>
    <n v="1.9"/>
    <n v="100"/>
    <n v="102.4"/>
    <n v="66.400000000000006"/>
    <n v="176.9"/>
    <n v="2.3319999999999999"/>
    <n v="12.1"/>
    <n v="33"/>
    <s v="8/16/2012"/>
    <n v="39.986424749999998"/>
  </r>
  <r>
    <x v="25"/>
    <s v="SC"/>
    <n v="24.545999999999999"/>
    <n v="10.59"/>
    <x v="0"/>
    <n v="12.535"/>
    <n v="1.9"/>
    <n v="100"/>
    <n v="102.4"/>
    <n v="66.400000000000006"/>
    <n v="180"/>
    <n v="2.367"/>
    <n v="12.1"/>
    <n v="33"/>
    <s v="3/16/2011"/>
    <n v="40.700072419999998"/>
  </r>
  <r>
    <x v="25"/>
    <s v="SW"/>
    <n v="5.2229999999999999"/>
    <n v="10.79"/>
    <x v="0"/>
    <n v="14.29"/>
    <n v="1.9"/>
    <n v="124"/>
    <n v="102.4"/>
    <n v="66.400000000000006"/>
    <n v="176.9"/>
    <n v="2.452"/>
    <n v="12.1"/>
    <n v="31"/>
    <s v="1/15/2011"/>
    <n v="49.865773670000003"/>
  </r>
  <r>
    <x v="25"/>
    <s v="LW"/>
    <n v="8.4719999999999995"/>
    <m/>
    <x v="0"/>
    <n v="18.835000000000001"/>
    <n v="2.2000000000000002"/>
    <n v="137"/>
    <n v="106.5"/>
    <n v="69"/>
    <n v="190.4"/>
    <n v="3.0750000000000002"/>
    <n v="13.1"/>
    <n v="27"/>
    <d v="2011-05-08T00:00:00"/>
    <n v="56.295243040000003"/>
  </r>
  <r>
    <x v="25"/>
    <s v="LS"/>
    <n v="49.988999999999997"/>
    <m/>
    <x v="0"/>
    <n v="15.01"/>
    <n v="2.2000000000000002"/>
    <n v="137"/>
    <n v="106.5"/>
    <n v="69"/>
    <n v="190.4"/>
    <n v="2.91"/>
    <n v="13.1"/>
    <n v="28"/>
    <d v="2012-04-12T00:00:00"/>
    <n v="54.819728249999997"/>
  </r>
  <r>
    <x v="26"/>
    <s v="Outback"/>
    <n v="47.106999999999999"/>
    <m/>
    <x v="0"/>
    <n v="22.695"/>
    <n v="2.5"/>
    <n v="165"/>
    <n v="103.5"/>
    <n v="67.5"/>
    <n v="185.8"/>
    <n v="3.415"/>
    <n v="16.899999999999999"/>
    <n v="25"/>
    <d v="2011-07-07T00:00:00"/>
    <n v="67.765907600000006"/>
  </r>
  <r>
    <x v="26"/>
    <s v="Forester"/>
    <n v="33.027999999999999"/>
    <m/>
    <x v="1"/>
    <n v="20.094999999999999"/>
    <n v="2.5"/>
    <n v="165"/>
    <n v="99.4"/>
    <n v="68.3"/>
    <n v="175.2"/>
    <n v="3.125"/>
    <n v="15.9"/>
    <n v="24"/>
    <d v="2012-10-09T00:00:00"/>
    <n v="66.762943309999997"/>
  </r>
  <r>
    <x v="27"/>
    <s v="Corolla"/>
    <n v="142.535"/>
    <n v="10.025"/>
    <x v="0"/>
    <n v="13.108000000000001"/>
    <n v="1.8"/>
    <n v="120"/>
    <n v="97"/>
    <n v="66.7"/>
    <n v="174"/>
    <n v="2.42"/>
    <n v="13.2"/>
    <n v="33"/>
    <d v="2011-11-04T00:00:00"/>
    <n v="47.96897242"/>
  </r>
  <r>
    <x v="27"/>
    <s v="Camry"/>
    <n v="247.994"/>
    <n v="13.244999999999999"/>
    <x v="0"/>
    <n v="17.518000000000001"/>
    <n v="2.2000000000000002"/>
    <n v="133"/>
    <n v="105.2"/>
    <n v="70.099999999999994"/>
    <n v="188.5"/>
    <n v="2.9980000000000002"/>
    <n v="18.5"/>
    <n v="27"/>
    <d v="2011-10-02T00:00:00"/>
    <n v="54.372419649999998"/>
  </r>
  <r>
    <x v="27"/>
    <s v="Avalon"/>
    <n v="63.848999999999997"/>
    <n v="18.14"/>
    <x v="0"/>
    <n v="25.545000000000002"/>
    <n v="3"/>
    <n v="210"/>
    <n v="107.1"/>
    <n v="71.7"/>
    <n v="191.9"/>
    <n v="3.4169999999999998"/>
    <n v="18.5"/>
    <n v="26"/>
    <s v="8/31/2011"/>
    <n v="84.911898260000001"/>
  </r>
  <r>
    <x v="27"/>
    <s v="Celica"/>
    <n v="33.268999999999998"/>
    <n v="15.445"/>
    <x v="0"/>
    <n v="16.875"/>
    <n v="1.8"/>
    <n v="140"/>
    <n v="102.4"/>
    <n v="68.3"/>
    <n v="170.5"/>
    <n v="2.4249999999999998"/>
    <n v="14.5"/>
    <n v="31"/>
    <s v="12/29/2012"/>
    <n v="56.496030339999997"/>
  </r>
  <r>
    <x v="27"/>
    <s v="Tacoma"/>
    <n v="84.087000000000003"/>
    <n v="9.5749999999999993"/>
    <x v="1"/>
    <n v="11.528"/>
    <n v="2.4"/>
    <n v="142"/>
    <n v="103.3"/>
    <n v="66.5"/>
    <n v="178.7"/>
    <n v="2.58"/>
    <n v="15.1"/>
    <n v="23"/>
    <d v="2011-01-08T00:00:00"/>
    <n v="55.297116580000001"/>
  </r>
  <r>
    <x v="27"/>
    <s v="Sienna"/>
    <n v="65.119"/>
    <m/>
    <x v="1"/>
    <n v="22.367999999999999"/>
    <n v="3"/>
    <n v="194"/>
    <n v="114.2"/>
    <n v="73.400000000000006"/>
    <n v="193.5"/>
    <n v="3.7589999999999999"/>
    <n v="20.9"/>
    <n v="22"/>
    <d v="2012-05-10T00:00:00"/>
    <n v="78.027219470000006"/>
  </r>
  <r>
    <x v="27"/>
    <s v="RAV4"/>
    <n v="25.106000000000002"/>
    <n v="13.324999999999999"/>
    <x v="1"/>
    <n v="16.888000000000002"/>
    <n v="2"/>
    <n v="127"/>
    <n v="94.9"/>
    <n v="66.7"/>
    <n v="163.80000000000001"/>
    <n v="2.6680000000000001"/>
    <n v="15.3"/>
    <n v="27"/>
    <d v="2011-06-05T00:00:00"/>
    <n v="51.955108869999997"/>
  </r>
  <r>
    <x v="27"/>
    <s v="4Runner"/>
    <n v="68.411000000000001"/>
    <n v="19.425000000000001"/>
    <x v="1"/>
    <n v="22.288"/>
    <n v="2.7"/>
    <n v="150"/>
    <n v="105.3"/>
    <n v="66.5"/>
    <n v="183.3"/>
    <n v="3.44"/>
    <n v="18.5"/>
    <n v="23"/>
    <d v="2011-07-03T00:00:00"/>
    <n v="62.35557713"/>
  </r>
  <r>
    <x v="27"/>
    <s v="Land Cruiser"/>
    <n v="9.8350000000000009"/>
    <n v="34.08"/>
    <x v="1"/>
    <n v="51.728000000000002"/>
    <n v="4.7"/>
    <n v="230"/>
    <n v="112.2"/>
    <n v="76.400000000000006"/>
    <n v="192.5"/>
    <n v="5.1150000000000002"/>
    <n v="25.4"/>
    <n v="15"/>
    <s v="9/25/2011"/>
    <n v="102.5289842"/>
  </r>
  <r>
    <x v="28"/>
    <s v="Golf"/>
    <n v="9.7609999999999992"/>
    <n v="11.425000000000001"/>
    <x v="0"/>
    <n v="14.9"/>
    <n v="2"/>
    <n v="115"/>
    <n v="98.9"/>
    <n v="68.3"/>
    <n v="163.30000000000001"/>
    <n v="2.7669999999999999"/>
    <n v="14.5"/>
    <n v="26"/>
    <s v="1/24/2011"/>
    <n v="46.943876760000002"/>
  </r>
  <r>
    <x v="28"/>
    <s v="Jetta"/>
    <n v="83.721000000000004"/>
    <n v="13.24"/>
    <x v="0"/>
    <n v="16.7"/>
    <n v="2"/>
    <n v="115"/>
    <n v="98.9"/>
    <n v="68.3"/>
    <n v="172.3"/>
    <n v="2.8530000000000002"/>
    <n v="14.5"/>
    <n v="26"/>
    <s v="8/27/2011"/>
    <n v="47.638236659999997"/>
  </r>
  <r>
    <x v="28"/>
    <s v="Passat"/>
    <n v="51.101999999999997"/>
    <n v="16.725000000000001"/>
    <x v="0"/>
    <n v="21.2"/>
    <n v="1.8"/>
    <n v="150"/>
    <n v="106.4"/>
    <n v="68.5"/>
    <n v="184.1"/>
    <n v="3.0430000000000001"/>
    <n v="16.399999999999999"/>
    <n v="27"/>
    <s v="10/30/2012"/>
    <n v="61.701381359999999"/>
  </r>
  <r>
    <x v="28"/>
    <s v="Cabrio"/>
    <n v="9.5690000000000008"/>
    <n v="16.574999999999999"/>
    <x v="0"/>
    <n v="19.989999999999998"/>
    <n v="2"/>
    <n v="115"/>
    <n v="97.4"/>
    <n v="66.7"/>
    <n v="160.4"/>
    <n v="3.0790000000000002"/>
    <n v="13.7"/>
    <n v="26"/>
    <s v="5/31/2011"/>
    <n v="48.907372250000002"/>
  </r>
  <r>
    <x v="28"/>
    <s v="GTI"/>
    <n v="5.5960000000000001"/>
    <n v="13.76"/>
    <x v="0"/>
    <n v="17.5"/>
    <n v="2"/>
    <n v="115"/>
    <n v="98.9"/>
    <n v="68.3"/>
    <n v="163.30000000000001"/>
    <n v="2.762"/>
    <n v="14.6"/>
    <n v="26"/>
    <d v="2011-01-04T00:00:00"/>
    <n v="47.946841059999997"/>
  </r>
  <r>
    <x v="28"/>
    <s v="Beetle"/>
    <n v="49.463000000000001"/>
    <m/>
    <x v="0"/>
    <n v="15.9"/>
    <n v="2"/>
    <n v="115"/>
    <n v="98.9"/>
    <n v="67.900000000000006"/>
    <n v="161.1"/>
    <n v="2.7690000000000001"/>
    <n v="14.5"/>
    <n v="26"/>
    <s v="10/20/2011"/>
    <n v="47.329632259999997"/>
  </r>
  <r>
    <x v="29"/>
    <s v="S40"/>
    <n v="16.957000000000001"/>
    <m/>
    <x v="0"/>
    <n v="23.4"/>
    <n v="1.9"/>
    <n v="160"/>
    <n v="100.5"/>
    <n v="67.599999999999994"/>
    <n v="176.6"/>
    <n v="2.9980000000000002"/>
    <n v="15.8"/>
    <n v="25"/>
    <s v="2/18/2011"/>
    <n v="66.113056799999995"/>
  </r>
  <r>
    <x v="29"/>
    <s v="V40"/>
    <n v="3.5449999999999999"/>
    <m/>
    <x v="0"/>
    <n v="24.4"/>
    <n v="1.9"/>
    <n v="160"/>
    <n v="100.5"/>
    <n v="67.599999999999994"/>
    <n v="176.6"/>
    <n v="3.0419999999999998"/>
    <n v="15.8"/>
    <n v="25"/>
    <s v="9/21/2011"/>
    <n v="66.498812299999997"/>
  </r>
  <r>
    <x v="29"/>
    <s v="S70"/>
    <n v="15.244999999999999"/>
    <m/>
    <x v="0"/>
    <n v="27.5"/>
    <n v="2.4"/>
    <n v="168"/>
    <n v="104.9"/>
    <n v="69.3"/>
    <n v="185.9"/>
    <n v="3.2080000000000002"/>
    <n v="17.899999999999999"/>
    <n v="25"/>
    <s v="11/24/2012"/>
    <n v="70.654495449999999"/>
  </r>
  <r>
    <x v="29"/>
    <s v="V70"/>
    <n v="17.530999999999999"/>
    <m/>
    <x v="0"/>
    <n v="28.8"/>
    <n v="2.4"/>
    <n v="168"/>
    <n v="104.9"/>
    <n v="69.3"/>
    <n v="186.2"/>
    <n v="3.2589999999999999"/>
    <n v="17.899999999999999"/>
    <n v="25"/>
    <s v="6/25/2011"/>
    <n v="71.1559776"/>
  </r>
  <r>
    <x v="29"/>
    <s v="C70"/>
    <n v="3.4929999999999999"/>
    <m/>
    <x v="0"/>
    <n v="45.5"/>
    <n v="2.2999999999999998"/>
    <n v="236"/>
    <n v="104.9"/>
    <n v="71.5"/>
    <n v="185.7"/>
    <n v="3.601"/>
    <n v="18.5"/>
    <n v="23"/>
    <s v="4/26/2011"/>
    <n v="101.6233572"/>
  </r>
  <r>
    <x v="29"/>
    <s v="S80"/>
    <n v="18.969000000000001"/>
    <m/>
    <x v="0"/>
    <n v="36"/>
    <n v="2.9"/>
    <n v="201"/>
    <n v="109.9"/>
    <n v="72.099999999999994"/>
    <n v="189.8"/>
    <n v="3.6"/>
    <n v="21.1"/>
    <n v="24"/>
    <s v="11/14/2011"/>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1" firstHeaderRow="1" firstDataRow="1" firstDataCol="1"/>
  <pivotFields count="16">
    <pivotField axis="axisRow" showAll="0">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dataField="1"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8">
    <i>
      <x v="4"/>
    </i>
    <i>
      <x v="6"/>
    </i>
    <i>
      <x v="7"/>
    </i>
    <i>
      <x v="8"/>
    </i>
    <i>
      <x v="9"/>
    </i>
    <i>
      <x v="13"/>
    </i>
    <i>
      <x v="14"/>
    </i>
    <i>
      <x v="15"/>
    </i>
    <i>
      <x v="16"/>
    </i>
    <i>
      <x v="17"/>
    </i>
    <i>
      <x v="18"/>
    </i>
    <i>
      <x v="19"/>
    </i>
    <i>
      <x v="20"/>
    </i>
    <i>
      <x v="21"/>
    </i>
    <i>
      <x v="22"/>
    </i>
    <i>
      <x v="26"/>
    </i>
    <i>
      <x v="27"/>
    </i>
    <i t="grand">
      <x/>
    </i>
  </rowItems>
  <colItems count="1">
    <i/>
  </colItems>
  <dataFields count="1">
    <dataField name="Sum of Sales_in_thousand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Car_sales"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ehicle_type" sourceName="Vehicle_type">
  <pivotTables>
    <pivotTable tabId="2" name="PivotTable1"/>
  </pivotTables>
  <data>
    <tabular pivotCacheId="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ehicle_type" cache="Slicer_Vehicle_type" caption="Vehicle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A10" sqref="A10"/>
    </sheetView>
  </sheetViews>
  <sheetFormatPr defaultRowHeight="14.4" x14ac:dyDescent="0.3"/>
  <cols>
    <col min="1" max="1" width="12.5546875" bestFit="1" customWidth="1"/>
    <col min="2" max="2" width="24.33203125" bestFit="1" customWidth="1"/>
  </cols>
  <sheetData>
    <row r="3" spans="1:2" x14ac:dyDescent="0.3">
      <c r="A3" s="3" t="s">
        <v>283</v>
      </c>
      <c r="B3" t="s">
        <v>285</v>
      </c>
    </row>
    <row r="4" spans="1:2" x14ac:dyDescent="0.3">
      <c r="A4" s="4" t="s">
        <v>40</v>
      </c>
      <c r="B4" s="5">
        <v>14.785</v>
      </c>
    </row>
    <row r="5" spans="1:2" x14ac:dyDescent="0.3">
      <c r="A5" s="4" t="s">
        <v>69</v>
      </c>
      <c r="B5" s="5">
        <v>53.48</v>
      </c>
    </row>
    <row r="6" spans="1:2" x14ac:dyDescent="0.3">
      <c r="A6" s="4" t="s">
        <v>80</v>
      </c>
      <c r="B6" s="5">
        <v>669.25099999999998</v>
      </c>
    </row>
    <row r="7" spans="1:2" x14ac:dyDescent="0.3">
      <c r="A7" s="4" t="s">
        <v>96</v>
      </c>
      <c r="B7" s="5">
        <v>1319.0830000000001</v>
      </c>
    </row>
    <row r="8" spans="1:2" x14ac:dyDescent="0.3">
      <c r="A8" s="4" t="s">
        <v>119</v>
      </c>
      <c r="B8" s="5">
        <v>162.08699999999999</v>
      </c>
    </row>
    <row r="9" spans="1:2" x14ac:dyDescent="0.3">
      <c r="A9" s="4" t="s">
        <v>139</v>
      </c>
      <c r="B9" s="5">
        <v>293.15300000000002</v>
      </c>
    </row>
    <row r="10" spans="1:2" x14ac:dyDescent="0.3">
      <c r="A10" s="4" t="s">
        <v>143</v>
      </c>
      <c r="B10" s="5">
        <v>60.363999999999997</v>
      </c>
    </row>
    <row r="11" spans="1:2" x14ac:dyDescent="0.3">
      <c r="A11" s="4" t="s">
        <v>153</v>
      </c>
      <c r="B11" s="5">
        <v>22.925000000000001</v>
      </c>
    </row>
    <row r="12" spans="1:2" x14ac:dyDescent="0.3">
      <c r="A12" s="4" t="s">
        <v>184</v>
      </c>
      <c r="B12" s="5">
        <v>28.975999999999999</v>
      </c>
    </row>
    <row r="13" spans="1:2" x14ac:dyDescent="0.3">
      <c r="A13" s="4" t="s">
        <v>172</v>
      </c>
      <c r="B13" s="5">
        <v>47.989000000000004</v>
      </c>
    </row>
    <row r="14" spans="1:2" x14ac:dyDescent="0.3">
      <c r="A14" s="4" t="s">
        <v>158</v>
      </c>
      <c r="B14" s="5">
        <v>50.685000000000002</v>
      </c>
    </row>
    <row r="15" spans="1:2" x14ac:dyDescent="0.3">
      <c r="A15" s="4" t="s">
        <v>198</v>
      </c>
      <c r="B15" s="5">
        <v>189.04499999999999</v>
      </c>
    </row>
    <row r="16" spans="1:2" x14ac:dyDescent="0.3">
      <c r="A16" s="4" t="s">
        <v>210</v>
      </c>
      <c r="B16" s="5">
        <v>44.378</v>
      </c>
    </row>
    <row r="17" spans="1:2" x14ac:dyDescent="0.3">
      <c r="A17" s="4" t="s">
        <v>221</v>
      </c>
      <c r="B17" s="5">
        <v>24.155000000000001</v>
      </c>
    </row>
    <row r="18" spans="1:2" x14ac:dyDescent="0.3">
      <c r="A18" s="4" t="s">
        <v>227</v>
      </c>
      <c r="B18" s="5">
        <v>39.572000000000003</v>
      </c>
    </row>
    <row r="19" spans="1:2" x14ac:dyDescent="0.3">
      <c r="A19" s="4" t="s">
        <v>254</v>
      </c>
      <c r="B19" s="5">
        <v>33.027999999999999</v>
      </c>
    </row>
    <row r="20" spans="1:2" x14ac:dyDescent="0.3">
      <c r="A20" s="4" t="s">
        <v>257</v>
      </c>
      <c r="B20" s="5">
        <v>252.55799999999999</v>
      </c>
    </row>
    <row r="21" spans="1:2" x14ac:dyDescent="0.3">
      <c r="A21" s="4" t="s">
        <v>284</v>
      </c>
      <c r="B21" s="5">
        <v>3305.5140000000006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8"/>
  <sheetViews>
    <sheetView tabSelected="1" topLeftCell="E1" workbookViewId="0">
      <selection activeCell="Q2" sqref="Q2:Q158"/>
    </sheetView>
  </sheetViews>
  <sheetFormatPr defaultRowHeight="14.4" x14ac:dyDescent="0.3"/>
  <cols>
    <col min="1" max="1" width="12.21875" bestFit="1" customWidth="1"/>
    <col min="2" max="2" width="14.33203125" bestFit="1" customWidth="1"/>
    <col min="3" max="3" width="17" bestFit="1" customWidth="1"/>
    <col min="4" max="4" width="18" bestFit="1" customWidth="1"/>
    <col min="5" max="5" width="11.44140625" bestFit="1" customWidth="1"/>
    <col min="6" max="6" width="16.88671875" bestFit="1" customWidth="1"/>
    <col min="7" max="7" width="10.33203125" bestFit="1" customWidth="1"/>
    <col min="8" max="8" width="11" bestFit="1" customWidth="1"/>
    <col min="9" max="9" width="10" bestFit="1" customWidth="1"/>
    <col min="10" max="10" width="5.88671875" bestFit="1" customWidth="1"/>
    <col min="11" max="11" width="6.44140625" bestFit="1" customWidth="1"/>
    <col min="12" max="12" width="11.21875" bestFit="1" customWidth="1"/>
    <col min="13" max="13" width="12.109375" bestFit="1" customWidth="1"/>
    <col min="14" max="14" width="13.33203125" bestFit="1" customWidth="1"/>
    <col min="15" max="15" width="12.77734375" bestFit="1" customWidth="1"/>
    <col min="16" max="16" width="16.66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286</v>
      </c>
    </row>
    <row r="2" spans="1:17" x14ac:dyDescent="0.3">
      <c r="A2" t="s">
        <v>16</v>
      </c>
      <c r="B2" t="s">
        <v>17</v>
      </c>
      <c r="C2">
        <v>16.919</v>
      </c>
      <c r="D2">
        <v>16.36</v>
      </c>
      <c r="E2" t="s">
        <v>18</v>
      </c>
      <c r="F2">
        <v>21.5</v>
      </c>
      <c r="G2">
        <v>1.8</v>
      </c>
      <c r="H2">
        <v>140</v>
      </c>
      <c r="I2">
        <v>101.2</v>
      </c>
      <c r="J2">
        <v>67.3</v>
      </c>
      <c r="K2">
        <v>172.4</v>
      </c>
      <c r="L2">
        <v>2.6389999999999998</v>
      </c>
      <c r="M2">
        <v>13.2</v>
      </c>
      <c r="N2">
        <v>28</v>
      </c>
      <c r="O2" s="1">
        <v>40941</v>
      </c>
      <c r="P2">
        <v>58.280149520000002</v>
      </c>
      <c r="Q2" t="str">
        <f>IF(F2&lt;15,"Budget",IF(F2&lt;25,"Mid-Range",IF(F2&lt;40,"Premium","Luxury")))</f>
        <v>Mid-Range</v>
      </c>
    </row>
    <row r="3" spans="1:17" x14ac:dyDescent="0.3">
      <c r="A3" t="s">
        <v>16</v>
      </c>
      <c r="B3" t="s">
        <v>19</v>
      </c>
      <c r="C3">
        <v>39.384</v>
      </c>
      <c r="D3">
        <v>19.875</v>
      </c>
      <c r="E3" t="s">
        <v>18</v>
      </c>
      <c r="F3">
        <v>28.4</v>
      </c>
      <c r="G3">
        <v>3.2</v>
      </c>
      <c r="H3">
        <v>225</v>
      </c>
      <c r="I3">
        <v>108.1</v>
      </c>
      <c r="J3">
        <v>70.3</v>
      </c>
      <c r="K3">
        <v>192.9</v>
      </c>
      <c r="L3">
        <v>3.5169999999999999</v>
      </c>
      <c r="M3">
        <v>17.2</v>
      </c>
      <c r="N3">
        <v>25</v>
      </c>
      <c r="O3" s="1">
        <v>40608</v>
      </c>
      <c r="P3">
        <v>91.370777660000002</v>
      </c>
      <c r="Q3" t="str">
        <f t="shared" ref="Q3:Q66" si="0">IF(F3&lt;15,"Budget",IF(F3&lt;25,"Mid-Range",IF(F3&lt;40,"Premium","Luxury")))</f>
        <v>Premium</v>
      </c>
    </row>
    <row r="4" spans="1:17" x14ac:dyDescent="0.3">
      <c r="A4" t="s">
        <v>16</v>
      </c>
      <c r="B4" t="s">
        <v>20</v>
      </c>
      <c r="C4">
        <v>14.114000000000001</v>
      </c>
      <c r="D4">
        <v>18.225000000000001</v>
      </c>
      <c r="E4" t="s">
        <v>18</v>
      </c>
      <c r="G4">
        <v>3.2</v>
      </c>
      <c r="H4">
        <v>225</v>
      </c>
      <c r="I4">
        <v>106.9</v>
      </c>
      <c r="J4">
        <v>70.599999999999994</v>
      </c>
      <c r="K4">
        <v>192</v>
      </c>
      <c r="L4">
        <v>3.47</v>
      </c>
      <c r="M4">
        <v>17.2</v>
      </c>
      <c r="N4">
        <v>26</v>
      </c>
      <c r="O4" s="1">
        <v>41000</v>
      </c>
      <c r="Q4" t="str">
        <f t="shared" si="0"/>
        <v>Budget</v>
      </c>
    </row>
    <row r="5" spans="1:17" x14ac:dyDescent="0.3">
      <c r="A5" t="s">
        <v>16</v>
      </c>
      <c r="B5" t="s">
        <v>21</v>
      </c>
      <c r="C5">
        <v>8.5879999999999992</v>
      </c>
      <c r="D5">
        <v>29.725000000000001</v>
      </c>
      <c r="E5" t="s">
        <v>18</v>
      </c>
      <c r="F5">
        <v>42</v>
      </c>
      <c r="G5">
        <v>3.5</v>
      </c>
      <c r="H5">
        <v>210</v>
      </c>
      <c r="I5">
        <v>114.6</v>
      </c>
      <c r="J5">
        <v>71.400000000000006</v>
      </c>
      <c r="K5">
        <v>196.6</v>
      </c>
      <c r="L5">
        <v>3.85</v>
      </c>
      <c r="M5">
        <v>18</v>
      </c>
      <c r="N5">
        <v>22</v>
      </c>
      <c r="O5" s="1">
        <v>40819</v>
      </c>
      <c r="P5">
        <v>91.389779329999996</v>
      </c>
      <c r="Q5" t="str">
        <f t="shared" si="0"/>
        <v>Luxury</v>
      </c>
    </row>
    <row r="6" spans="1:17" x14ac:dyDescent="0.3">
      <c r="A6" t="s">
        <v>22</v>
      </c>
      <c r="B6" t="s">
        <v>23</v>
      </c>
      <c r="C6">
        <v>20.396999999999998</v>
      </c>
      <c r="D6">
        <v>22.254999999999999</v>
      </c>
      <c r="E6" t="s">
        <v>18</v>
      </c>
      <c r="F6">
        <v>23.99</v>
      </c>
      <c r="G6">
        <v>1.8</v>
      </c>
      <c r="H6">
        <v>150</v>
      </c>
      <c r="I6">
        <v>102.6</v>
      </c>
      <c r="J6">
        <v>68.2</v>
      </c>
      <c r="K6">
        <v>178</v>
      </c>
      <c r="L6">
        <v>2.9980000000000002</v>
      </c>
      <c r="M6">
        <v>16.399999999999999</v>
      </c>
      <c r="N6">
        <v>27</v>
      </c>
      <c r="O6" s="1">
        <v>40765</v>
      </c>
      <c r="P6">
        <v>62.777639200000003</v>
      </c>
      <c r="Q6" t="str">
        <f t="shared" si="0"/>
        <v>Mid-Range</v>
      </c>
    </row>
    <row r="7" spans="1:17" x14ac:dyDescent="0.3">
      <c r="A7" t="s">
        <v>22</v>
      </c>
      <c r="B7" t="s">
        <v>24</v>
      </c>
      <c r="C7">
        <v>18.78</v>
      </c>
      <c r="D7">
        <v>23.555</v>
      </c>
      <c r="E7" t="s">
        <v>18</v>
      </c>
      <c r="F7">
        <v>33.950000000000003</v>
      </c>
      <c r="G7">
        <v>2.8</v>
      </c>
      <c r="H7">
        <v>200</v>
      </c>
      <c r="I7">
        <v>108.7</v>
      </c>
      <c r="J7">
        <v>76.099999999999994</v>
      </c>
      <c r="K7">
        <v>192</v>
      </c>
      <c r="L7">
        <v>3.5609999999999999</v>
      </c>
      <c r="M7">
        <v>18.5</v>
      </c>
      <c r="N7">
        <v>22</v>
      </c>
      <c r="O7" s="1">
        <v>40794</v>
      </c>
      <c r="P7">
        <v>84.565105020000004</v>
      </c>
      <c r="Q7" t="str">
        <f t="shared" si="0"/>
        <v>Premium</v>
      </c>
    </row>
    <row r="8" spans="1:17" x14ac:dyDescent="0.3">
      <c r="A8" t="s">
        <v>22</v>
      </c>
      <c r="B8" t="s">
        <v>25</v>
      </c>
      <c r="C8">
        <v>1.38</v>
      </c>
      <c r="D8">
        <v>39</v>
      </c>
      <c r="E8" t="s">
        <v>18</v>
      </c>
      <c r="F8">
        <v>62</v>
      </c>
      <c r="G8">
        <v>4.2</v>
      </c>
      <c r="H8">
        <v>310</v>
      </c>
      <c r="I8">
        <v>113</v>
      </c>
      <c r="J8">
        <v>74</v>
      </c>
      <c r="K8">
        <v>198.2</v>
      </c>
      <c r="L8">
        <v>3.9020000000000001</v>
      </c>
      <c r="M8">
        <v>23.7</v>
      </c>
      <c r="N8">
        <v>21</v>
      </c>
      <c r="O8" t="s">
        <v>26</v>
      </c>
      <c r="P8">
        <v>134.65685819999999</v>
      </c>
      <c r="Q8" t="str">
        <f t="shared" si="0"/>
        <v>Luxury</v>
      </c>
    </row>
    <row r="9" spans="1:17" x14ac:dyDescent="0.3">
      <c r="A9" t="s">
        <v>27</v>
      </c>
      <c r="B9" t="s">
        <v>28</v>
      </c>
      <c r="C9">
        <v>19.747</v>
      </c>
      <c r="E9" t="s">
        <v>18</v>
      </c>
      <c r="F9">
        <v>26.99</v>
      </c>
      <c r="G9">
        <v>2.5</v>
      </c>
      <c r="H9">
        <v>170</v>
      </c>
      <c r="I9">
        <v>107.3</v>
      </c>
      <c r="J9">
        <v>68.400000000000006</v>
      </c>
      <c r="K9">
        <v>176</v>
      </c>
      <c r="L9">
        <v>3.1789999999999998</v>
      </c>
      <c r="M9">
        <v>16.600000000000001</v>
      </c>
      <c r="N9">
        <v>26</v>
      </c>
      <c r="O9" t="s">
        <v>29</v>
      </c>
      <c r="P9">
        <v>71.191206710000003</v>
      </c>
      <c r="Q9" t="str">
        <f t="shared" si="0"/>
        <v>Premium</v>
      </c>
    </row>
    <row r="10" spans="1:17" x14ac:dyDescent="0.3">
      <c r="A10" t="s">
        <v>27</v>
      </c>
      <c r="B10" t="s">
        <v>30</v>
      </c>
      <c r="C10">
        <v>9.2309999999999999</v>
      </c>
      <c r="D10">
        <v>28.675000000000001</v>
      </c>
      <c r="E10" t="s">
        <v>18</v>
      </c>
      <c r="F10">
        <v>33.4</v>
      </c>
      <c r="G10">
        <v>2.8</v>
      </c>
      <c r="H10">
        <v>193</v>
      </c>
      <c r="I10">
        <v>107.3</v>
      </c>
      <c r="J10">
        <v>68.5</v>
      </c>
      <c r="K10">
        <v>176</v>
      </c>
      <c r="L10">
        <v>3.1970000000000001</v>
      </c>
      <c r="M10">
        <v>16.600000000000001</v>
      </c>
      <c r="N10">
        <v>24</v>
      </c>
      <c r="O10" t="s">
        <v>31</v>
      </c>
      <c r="P10">
        <v>81.877068559999998</v>
      </c>
      <c r="Q10" t="str">
        <f t="shared" si="0"/>
        <v>Premium</v>
      </c>
    </row>
    <row r="11" spans="1:17" x14ac:dyDescent="0.3">
      <c r="A11" t="s">
        <v>27</v>
      </c>
      <c r="B11" t="s">
        <v>32</v>
      </c>
      <c r="C11">
        <v>17.527000000000001</v>
      </c>
      <c r="D11">
        <v>36.125</v>
      </c>
      <c r="E11" t="s">
        <v>18</v>
      </c>
      <c r="F11">
        <v>38.9</v>
      </c>
      <c r="G11">
        <v>2.8</v>
      </c>
      <c r="H11">
        <v>193</v>
      </c>
      <c r="I11">
        <v>111.4</v>
      </c>
      <c r="J11">
        <v>70.900000000000006</v>
      </c>
      <c r="K11">
        <v>188</v>
      </c>
      <c r="L11">
        <v>3.472</v>
      </c>
      <c r="M11">
        <v>18.5</v>
      </c>
      <c r="N11">
        <v>25</v>
      </c>
      <c r="O11" s="1">
        <v>40637</v>
      </c>
      <c r="P11">
        <v>83.998723799999993</v>
      </c>
      <c r="Q11" t="str">
        <f t="shared" si="0"/>
        <v>Premium</v>
      </c>
    </row>
    <row r="12" spans="1:17" x14ac:dyDescent="0.3">
      <c r="A12" t="s">
        <v>33</v>
      </c>
      <c r="B12" t="s">
        <v>34</v>
      </c>
      <c r="C12">
        <v>91.561000000000007</v>
      </c>
      <c r="D12">
        <v>12.475</v>
      </c>
      <c r="E12" t="s">
        <v>18</v>
      </c>
      <c r="F12">
        <v>21.975000000000001</v>
      </c>
      <c r="G12">
        <v>3.1</v>
      </c>
      <c r="H12">
        <v>175</v>
      </c>
      <c r="I12">
        <v>109</v>
      </c>
      <c r="J12">
        <v>72.7</v>
      </c>
      <c r="K12">
        <v>194.6</v>
      </c>
      <c r="L12">
        <v>3.3679999999999999</v>
      </c>
      <c r="M12">
        <v>17.5</v>
      </c>
      <c r="N12">
        <v>25</v>
      </c>
      <c r="O12" s="1">
        <v>40585</v>
      </c>
      <c r="P12">
        <v>71.181451319999994</v>
      </c>
      <c r="Q12" t="str">
        <f t="shared" si="0"/>
        <v>Mid-Range</v>
      </c>
    </row>
    <row r="13" spans="1:17" x14ac:dyDescent="0.3">
      <c r="A13" t="s">
        <v>33</v>
      </c>
      <c r="B13" t="s">
        <v>35</v>
      </c>
      <c r="C13">
        <v>39.35</v>
      </c>
      <c r="D13">
        <v>13.74</v>
      </c>
      <c r="E13" t="s">
        <v>18</v>
      </c>
      <c r="F13">
        <v>25.3</v>
      </c>
      <c r="G13">
        <v>3.8</v>
      </c>
      <c r="H13">
        <v>240</v>
      </c>
      <c r="I13">
        <v>109</v>
      </c>
      <c r="J13">
        <v>72.7</v>
      </c>
      <c r="K13">
        <v>196.2</v>
      </c>
      <c r="L13">
        <v>3.5430000000000001</v>
      </c>
      <c r="M13">
        <v>17.5</v>
      </c>
      <c r="N13">
        <v>23</v>
      </c>
      <c r="O13" s="1">
        <v>40611</v>
      </c>
      <c r="P13">
        <v>95.636702529999994</v>
      </c>
      <c r="Q13" t="str">
        <f t="shared" si="0"/>
        <v>Premium</v>
      </c>
    </row>
    <row r="14" spans="1:17" x14ac:dyDescent="0.3">
      <c r="A14" t="s">
        <v>33</v>
      </c>
      <c r="B14" t="s">
        <v>36</v>
      </c>
      <c r="C14">
        <v>27.850999999999999</v>
      </c>
      <c r="D14">
        <v>20.190000000000001</v>
      </c>
      <c r="E14" t="s">
        <v>18</v>
      </c>
      <c r="F14">
        <v>31.965</v>
      </c>
      <c r="G14">
        <v>3.8</v>
      </c>
      <c r="H14">
        <v>205</v>
      </c>
      <c r="I14">
        <v>113.8</v>
      </c>
      <c r="J14">
        <v>74.7</v>
      </c>
      <c r="K14">
        <v>206.8</v>
      </c>
      <c r="L14">
        <v>3.778</v>
      </c>
      <c r="M14">
        <v>18.5</v>
      </c>
      <c r="N14">
        <v>24</v>
      </c>
      <c r="O14" t="s">
        <v>37</v>
      </c>
      <c r="P14">
        <v>85.828408249999995</v>
      </c>
      <c r="Q14" t="str">
        <f t="shared" si="0"/>
        <v>Premium</v>
      </c>
    </row>
    <row r="15" spans="1:17" x14ac:dyDescent="0.3">
      <c r="A15" t="s">
        <v>33</v>
      </c>
      <c r="B15" t="s">
        <v>38</v>
      </c>
      <c r="C15">
        <v>83.257000000000005</v>
      </c>
      <c r="D15">
        <v>13.36</v>
      </c>
      <c r="E15" t="s">
        <v>18</v>
      </c>
      <c r="F15">
        <v>27.885000000000002</v>
      </c>
      <c r="G15">
        <v>3.8</v>
      </c>
      <c r="H15">
        <v>205</v>
      </c>
      <c r="I15">
        <v>112.2</v>
      </c>
      <c r="J15">
        <v>73.5</v>
      </c>
      <c r="K15">
        <v>200</v>
      </c>
      <c r="L15">
        <v>3.5910000000000002</v>
      </c>
      <c r="M15">
        <v>17.5</v>
      </c>
      <c r="N15">
        <v>25</v>
      </c>
      <c r="O15" t="s">
        <v>39</v>
      </c>
      <c r="P15">
        <v>84.254525810000004</v>
      </c>
      <c r="Q15" t="str">
        <f t="shared" si="0"/>
        <v>Premium</v>
      </c>
    </row>
    <row r="16" spans="1:17" x14ac:dyDescent="0.3">
      <c r="A16" t="s">
        <v>40</v>
      </c>
      <c r="B16" t="s">
        <v>41</v>
      </c>
      <c r="C16">
        <v>63.728999999999999</v>
      </c>
      <c r="D16">
        <v>22.524999999999999</v>
      </c>
      <c r="E16" t="s">
        <v>18</v>
      </c>
      <c r="F16">
        <v>39.895000000000003</v>
      </c>
      <c r="G16">
        <v>4.5999999999999996</v>
      </c>
      <c r="H16">
        <v>275</v>
      </c>
      <c r="I16">
        <v>115.3</v>
      </c>
      <c r="J16">
        <v>74.5</v>
      </c>
      <c r="K16">
        <v>207.2</v>
      </c>
      <c r="L16">
        <v>3.9780000000000002</v>
      </c>
      <c r="M16">
        <v>18.5</v>
      </c>
      <c r="N16">
        <v>22</v>
      </c>
      <c r="O16" t="s">
        <v>42</v>
      </c>
      <c r="P16">
        <v>113.85459760000001</v>
      </c>
      <c r="Q16" t="str">
        <f t="shared" si="0"/>
        <v>Premium</v>
      </c>
    </row>
    <row r="17" spans="1:17" x14ac:dyDescent="0.3">
      <c r="A17" t="s">
        <v>40</v>
      </c>
      <c r="B17" t="s">
        <v>43</v>
      </c>
      <c r="C17">
        <v>15.943</v>
      </c>
      <c r="D17">
        <v>27.1</v>
      </c>
      <c r="E17" t="s">
        <v>18</v>
      </c>
      <c r="F17">
        <v>44.475000000000001</v>
      </c>
      <c r="G17">
        <v>4.5999999999999996</v>
      </c>
      <c r="H17">
        <v>275</v>
      </c>
      <c r="I17">
        <v>112.2</v>
      </c>
      <c r="J17">
        <v>75</v>
      </c>
      <c r="K17">
        <v>201</v>
      </c>
      <c r="M17">
        <v>18.5</v>
      </c>
      <c r="N17">
        <v>22</v>
      </c>
      <c r="O17" t="s">
        <v>44</v>
      </c>
      <c r="P17">
        <v>115.6213578</v>
      </c>
      <c r="Q17" t="str">
        <f t="shared" si="0"/>
        <v>Luxury</v>
      </c>
    </row>
    <row r="18" spans="1:17" x14ac:dyDescent="0.3">
      <c r="A18" t="s">
        <v>40</v>
      </c>
      <c r="B18" t="s">
        <v>45</v>
      </c>
      <c r="C18">
        <v>6.5359999999999996</v>
      </c>
      <c r="D18">
        <v>25.725000000000001</v>
      </c>
      <c r="E18" t="s">
        <v>18</v>
      </c>
      <c r="F18">
        <v>39.664999999999999</v>
      </c>
      <c r="G18">
        <v>4.5999999999999996</v>
      </c>
      <c r="H18">
        <v>275</v>
      </c>
      <c r="I18">
        <v>108</v>
      </c>
      <c r="J18">
        <v>75.5</v>
      </c>
      <c r="K18">
        <v>200.6</v>
      </c>
      <c r="L18">
        <v>3.843</v>
      </c>
      <c r="M18">
        <v>19</v>
      </c>
      <c r="N18">
        <v>22</v>
      </c>
      <c r="O18" t="s">
        <v>46</v>
      </c>
      <c r="P18">
        <v>113.7658739</v>
      </c>
      <c r="Q18" t="str">
        <f t="shared" si="0"/>
        <v>Premium</v>
      </c>
    </row>
    <row r="19" spans="1:17" x14ac:dyDescent="0.3">
      <c r="A19" t="s">
        <v>40</v>
      </c>
      <c r="B19" t="s">
        <v>47</v>
      </c>
      <c r="C19">
        <v>11.185</v>
      </c>
      <c r="D19">
        <v>18.225000000000001</v>
      </c>
      <c r="E19" t="s">
        <v>18</v>
      </c>
      <c r="F19">
        <v>31.01</v>
      </c>
      <c r="G19">
        <v>3</v>
      </c>
      <c r="H19">
        <v>200</v>
      </c>
      <c r="I19">
        <v>107.4</v>
      </c>
      <c r="J19">
        <v>70.3</v>
      </c>
      <c r="K19">
        <v>194.8</v>
      </c>
      <c r="L19">
        <v>3.77</v>
      </c>
      <c r="M19">
        <v>18</v>
      </c>
      <c r="N19">
        <v>22</v>
      </c>
      <c r="O19" t="s">
        <v>48</v>
      </c>
      <c r="P19">
        <v>83.483093580000002</v>
      </c>
      <c r="Q19" t="str">
        <f t="shared" si="0"/>
        <v>Premium</v>
      </c>
    </row>
    <row r="20" spans="1:17" x14ac:dyDescent="0.3">
      <c r="A20" t="s">
        <v>40</v>
      </c>
      <c r="B20" t="s">
        <v>49</v>
      </c>
      <c r="C20">
        <v>14.785</v>
      </c>
      <c r="E20" t="s">
        <v>50</v>
      </c>
      <c r="F20">
        <v>46.225000000000001</v>
      </c>
      <c r="G20">
        <v>5.7</v>
      </c>
      <c r="H20">
        <v>255</v>
      </c>
      <c r="I20">
        <v>117.5</v>
      </c>
      <c r="J20">
        <v>77</v>
      </c>
      <c r="K20">
        <v>201.2</v>
      </c>
      <c r="L20">
        <v>5.5720000000000001</v>
      </c>
      <c r="M20">
        <v>30</v>
      </c>
      <c r="N20">
        <v>15</v>
      </c>
      <c r="O20" t="s">
        <v>51</v>
      </c>
      <c r="P20">
        <v>109.5091165</v>
      </c>
      <c r="Q20" t="str">
        <f t="shared" si="0"/>
        <v>Luxury</v>
      </c>
    </row>
    <row r="21" spans="1:17" x14ac:dyDescent="0.3">
      <c r="A21" t="s">
        <v>52</v>
      </c>
      <c r="B21" t="s">
        <v>53</v>
      </c>
      <c r="C21">
        <v>145.51900000000001</v>
      </c>
      <c r="D21">
        <v>9.25</v>
      </c>
      <c r="E21" t="s">
        <v>18</v>
      </c>
      <c r="F21">
        <v>13.26</v>
      </c>
      <c r="G21">
        <v>2.2000000000000002</v>
      </c>
      <c r="H21">
        <v>115</v>
      </c>
      <c r="I21">
        <v>104.1</v>
      </c>
      <c r="J21">
        <v>67.900000000000006</v>
      </c>
      <c r="K21">
        <v>180.9</v>
      </c>
      <c r="L21">
        <v>2.6760000000000002</v>
      </c>
      <c r="M21">
        <v>14.3</v>
      </c>
      <c r="N21">
        <v>27</v>
      </c>
      <c r="O21" t="s">
        <v>54</v>
      </c>
      <c r="P21">
        <v>46.363347470000001</v>
      </c>
      <c r="Q21" t="str">
        <f t="shared" si="0"/>
        <v>Budget</v>
      </c>
    </row>
    <row r="22" spans="1:17" x14ac:dyDescent="0.3">
      <c r="A22" t="s">
        <v>52</v>
      </c>
      <c r="B22" t="s">
        <v>55</v>
      </c>
      <c r="C22">
        <v>135.126</v>
      </c>
      <c r="D22">
        <v>11.225</v>
      </c>
      <c r="E22" t="s">
        <v>18</v>
      </c>
      <c r="F22">
        <v>16.535</v>
      </c>
      <c r="G22">
        <v>3.1</v>
      </c>
      <c r="H22">
        <v>170</v>
      </c>
      <c r="I22">
        <v>107</v>
      </c>
      <c r="J22">
        <v>69.400000000000006</v>
      </c>
      <c r="K22">
        <v>190.4</v>
      </c>
      <c r="L22">
        <v>3.0510000000000002</v>
      </c>
      <c r="M22">
        <v>15</v>
      </c>
      <c r="N22">
        <v>25</v>
      </c>
      <c r="O22" t="s">
        <v>56</v>
      </c>
      <c r="P22">
        <v>67.314462160000005</v>
      </c>
      <c r="Q22" t="str">
        <f t="shared" si="0"/>
        <v>Mid-Range</v>
      </c>
    </row>
    <row r="23" spans="1:17" x14ac:dyDescent="0.3">
      <c r="A23" t="s">
        <v>52</v>
      </c>
      <c r="B23" t="s">
        <v>57</v>
      </c>
      <c r="C23">
        <v>24.629000000000001</v>
      </c>
      <c r="D23">
        <v>10.31</v>
      </c>
      <c r="E23" t="s">
        <v>18</v>
      </c>
      <c r="F23">
        <v>18.89</v>
      </c>
      <c r="G23">
        <v>3.1</v>
      </c>
      <c r="H23">
        <v>175</v>
      </c>
      <c r="I23">
        <v>107.5</v>
      </c>
      <c r="J23">
        <v>72.5</v>
      </c>
      <c r="K23">
        <v>200.9</v>
      </c>
      <c r="L23">
        <v>3.33</v>
      </c>
      <c r="M23">
        <v>16.600000000000001</v>
      </c>
      <c r="N23">
        <v>25</v>
      </c>
      <c r="O23" t="s">
        <v>58</v>
      </c>
      <c r="P23">
        <v>69.991395600000004</v>
      </c>
      <c r="Q23" t="str">
        <f t="shared" si="0"/>
        <v>Mid-Range</v>
      </c>
    </row>
    <row r="24" spans="1:17" x14ac:dyDescent="0.3">
      <c r="A24" t="s">
        <v>52</v>
      </c>
      <c r="B24" t="s">
        <v>59</v>
      </c>
      <c r="C24">
        <v>42.593000000000004</v>
      </c>
      <c r="D24">
        <v>11.525</v>
      </c>
      <c r="E24" t="s">
        <v>18</v>
      </c>
      <c r="F24">
        <v>19.39</v>
      </c>
      <c r="G24">
        <v>3.4</v>
      </c>
      <c r="H24">
        <v>180</v>
      </c>
      <c r="I24">
        <v>110.5</v>
      </c>
      <c r="J24">
        <v>72.7</v>
      </c>
      <c r="K24">
        <v>197.9</v>
      </c>
      <c r="L24">
        <v>3.34</v>
      </c>
      <c r="M24">
        <v>17</v>
      </c>
      <c r="N24">
        <v>27</v>
      </c>
      <c r="O24" t="s">
        <v>60</v>
      </c>
      <c r="P24">
        <v>72.030917189999997</v>
      </c>
      <c r="Q24" t="str">
        <f t="shared" si="0"/>
        <v>Mid-Range</v>
      </c>
    </row>
    <row r="25" spans="1:17" x14ac:dyDescent="0.3">
      <c r="A25" t="s">
        <v>52</v>
      </c>
      <c r="B25" t="s">
        <v>61</v>
      </c>
      <c r="C25">
        <v>26.402000000000001</v>
      </c>
      <c r="D25">
        <v>13.025</v>
      </c>
      <c r="E25" t="s">
        <v>18</v>
      </c>
      <c r="F25">
        <v>24.34</v>
      </c>
      <c r="G25">
        <v>3.8</v>
      </c>
      <c r="H25">
        <v>200</v>
      </c>
      <c r="I25">
        <v>101.1</v>
      </c>
      <c r="J25">
        <v>74.099999999999994</v>
      </c>
      <c r="K25">
        <v>193.2</v>
      </c>
      <c r="L25">
        <v>3.5</v>
      </c>
      <c r="M25">
        <v>16.8</v>
      </c>
      <c r="N25">
        <v>25</v>
      </c>
      <c r="O25" t="s">
        <v>62</v>
      </c>
      <c r="P25">
        <v>81.118543329999994</v>
      </c>
      <c r="Q25" t="str">
        <f t="shared" si="0"/>
        <v>Mid-Range</v>
      </c>
    </row>
    <row r="26" spans="1:17" x14ac:dyDescent="0.3">
      <c r="A26" t="s">
        <v>52</v>
      </c>
      <c r="B26" t="s">
        <v>63</v>
      </c>
      <c r="C26">
        <v>17.946999999999999</v>
      </c>
      <c r="D26">
        <v>36.225000000000001</v>
      </c>
      <c r="E26" t="s">
        <v>18</v>
      </c>
      <c r="F26">
        <v>45.704999999999998</v>
      </c>
      <c r="G26">
        <v>5.7</v>
      </c>
      <c r="H26">
        <v>345</v>
      </c>
      <c r="I26">
        <v>104.5</v>
      </c>
      <c r="J26">
        <v>73.599999999999994</v>
      </c>
      <c r="K26">
        <v>179.7</v>
      </c>
      <c r="L26">
        <v>3.21</v>
      </c>
      <c r="M26">
        <v>19.100000000000001</v>
      </c>
      <c r="N26">
        <v>22</v>
      </c>
      <c r="O26" s="1">
        <v>41248</v>
      </c>
      <c r="P26">
        <v>141.14115000000001</v>
      </c>
      <c r="Q26" t="str">
        <f t="shared" si="0"/>
        <v>Luxury</v>
      </c>
    </row>
    <row r="27" spans="1:17" x14ac:dyDescent="0.3">
      <c r="A27" t="s">
        <v>52</v>
      </c>
      <c r="B27" t="s">
        <v>64</v>
      </c>
      <c r="C27">
        <v>32.298999999999999</v>
      </c>
      <c r="D27">
        <v>9.125</v>
      </c>
      <c r="E27" t="s">
        <v>18</v>
      </c>
      <c r="F27">
        <v>13.96</v>
      </c>
      <c r="G27">
        <v>1.8</v>
      </c>
      <c r="H27">
        <v>120</v>
      </c>
      <c r="I27">
        <v>97.1</v>
      </c>
      <c r="J27">
        <v>66.7</v>
      </c>
      <c r="K27">
        <v>174.3</v>
      </c>
      <c r="L27">
        <v>2.3980000000000001</v>
      </c>
      <c r="M27">
        <v>13.2</v>
      </c>
      <c r="N27">
        <v>33</v>
      </c>
      <c r="O27" s="1">
        <v>40856</v>
      </c>
      <c r="P27">
        <v>48.297636099999998</v>
      </c>
      <c r="Q27" t="str">
        <f t="shared" si="0"/>
        <v>Budget</v>
      </c>
    </row>
    <row r="28" spans="1:17" x14ac:dyDescent="0.3">
      <c r="A28" t="s">
        <v>52</v>
      </c>
      <c r="B28" t="s">
        <v>65</v>
      </c>
      <c r="C28">
        <v>21.855</v>
      </c>
      <c r="D28">
        <v>5.16</v>
      </c>
      <c r="E28" t="s">
        <v>18</v>
      </c>
      <c r="F28">
        <v>9.2349999999999994</v>
      </c>
      <c r="G28">
        <v>1</v>
      </c>
      <c r="H28">
        <v>55</v>
      </c>
      <c r="I28">
        <v>93.1</v>
      </c>
      <c r="J28">
        <v>62.6</v>
      </c>
      <c r="K28">
        <v>149.4</v>
      </c>
      <c r="L28">
        <v>1.895</v>
      </c>
      <c r="M28">
        <v>10.3</v>
      </c>
      <c r="N28">
        <v>45</v>
      </c>
      <c r="O28" t="s">
        <v>66</v>
      </c>
      <c r="P28">
        <v>23.276272330000001</v>
      </c>
      <c r="Q28" t="str">
        <f t="shared" si="0"/>
        <v>Budget</v>
      </c>
    </row>
    <row r="29" spans="1:17" x14ac:dyDescent="0.3">
      <c r="A29" t="s">
        <v>52</v>
      </c>
      <c r="B29" t="s">
        <v>67</v>
      </c>
      <c r="C29">
        <v>107.995</v>
      </c>
      <c r="E29" t="s">
        <v>18</v>
      </c>
      <c r="F29">
        <v>18.89</v>
      </c>
      <c r="G29">
        <v>3.4</v>
      </c>
      <c r="H29">
        <v>180</v>
      </c>
      <c r="I29">
        <v>110.5</v>
      </c>
      <c r="J29">
        <v>73</v>
      </c>
      <c r="K29">
        <v>200</v>
      </c>
      <c r="L29">
        <v>3.3889999999999998</v>
      </c>
      <c r="M29">
        <v>17</v>
      </c>
      <c r="N29">
        <v>27</v>
      </c>
      <c r="O29" t="s">
        <v>68</v>
      </c>
      <c r="P29">
        <v>71.838039440000003</v>
      </c>
      <c r="Q29" t="str">
        <f t="shared" si="0"/>
        <v>Mid-Range</v>
      </c>
    </row>
    <row r="30" spans="1:17" x14ac:dyDescent="0.3">
      <c r="A30" t="s">
        <v>69</v>
      </c>
      <c r="B30" t="s">
        <v>70</v>
      </c>
      <c r="C30">
        <v>7.8540000000000001</v>
      </c>
      <c r="D30">
        <v>12.36</v>
      </c>
      <c r="E30" t="s">
        <v>18</v>
      </c>
      <c r="F30">
        <v>19.84</v>
      </c>
      <c r="G30">
        <v>2.5</v>
      </c>
      <c r="H30">
        <v>163</v>
      </c>
      <c r="I30">
        <v>103.7</v>
      </c>
      <c r="J30">
        <v>69.7</v>
      </c>
      <c r="K30">
        <v>190.9</v>
      </c>
      <c r="L30">
        <v>2.9670000000000001</v>
      </c>
      <c r="M30">
        <v>15.9</v>
      </c>
      <c r="N30">
        <v>24</v>
      </c>
      <c r="O30" t="s">
        <v>71</v>
      </c>
      <c r="P30">
        <v>65.957183959999995</v>
      </c>
      <c r="Q30" t="str">
        <f t="shared" si="0"/>
        <v>Mid-Range</v>
      </c>
    </row>
    <row r="31" spans="1:17" x14ac:dyDescent="0.3">
      <c r="A31" t="s">
        <v>69</v>
      </c>
      <c r="B31" t="s">
        <v>72</v>
      </c>
      <c r="C31">
        <v>32.774999999999999</v>
      </c>
      <c r="D31">
        <v>14.18</v>
      </c>
      <c r="E31" t="s">
        <v>18</v>
      </c>
      <c r="F31">
        <v>24.495000000000001</v>
      </c>
      <c r="G31">
        <v>2.5</v>
      </c>
      <c r="H31">
        <v>168</v>
      </c>
      <c r="I31">
        <v>106</v>
      </c>
      <c r="J31">
        <v>69.2</v>
      </c>
      <c r="K31">
        <v>193</v>
      </c>
      <c r="L31">
        <v>3.3319999999999999</v>
      </c>
      <c r="M31">
        <v>16</v>
      </c>
      <c r="N31">
        <v>24</v>
      </c>
      <c r="O31" t="s">
        <v>73</v>
      </c>
      <c r="P31">
        <v>69.521355049999997</v>
      </c>
      <c r="Q31" t="str">
        <f t="shared" si="0"/>
        <v>Mid-Range</v>
      </c>
    </row>
    <row r="32" spans="1:17" x14ac:dyDescent="0.3">
      <c r="A32" t="s">
        <v>69</v>
      </c>
      <c r="B32" t="s">
        <v>74</v>
      </c>
      <c r="C32">
        <v>31.148</v>
      </c>
      <c r="D32">
        <v>13.725</v>
      </c>
      <c r="E32" t="s">
        <v>18</v>
      </c>
      <c r="F32">
        <v>22.245000000000001</v>
      </c>
      <c r="G32">
        <v>2.7</v>
      </c>
      <c r="H32">
        <v>200</v>
      </c>
      <c r="I32">
        <v>113</v>
      </c>
      <c r="J32">
        <v>74.400000000000006</v>
      </c>
      <c r="K32">
        <v>209.1</v>
      </c>
      <c r="L32">
        <v>3.452</v>
      </c>
      <c r="M32">
        <v>17</v>
      </c>
      <c r="N32">
        <v>26</v>
      </c>
      <c r="O32" s="1">
        <v>41066</v>
      </c>
      <c r="P32">
        <v>80.02378204</v>
      </c>
      <c r="Q32" t="str">
        <f t="shared" si="0"/>
        <v>Mid-Range</v>
      </c>
    </row>
    <row r="33" spans="1:17" x14ac:dyDescent="0.3">
      <c r="A33" t="s">
        <v>69</v>
      </c>
      <c r="B33" t="s">
        <v>75</v>
      </c>
      <c r="C33">
        <v>32.305999999999997</v>
      </c>
      <c r="D33">
        <v>12.64</v>
      </c>
      <c r="E33" t="s">
        <v>18</v>
      </c>
      <c r="F33">
        <v>16.48</v>
      </c>
      <c r="G33">
        <v>2</v>
      </c>
      <c r="H33">
        <v>132</v>
      </c>
      <c r="I33">
        <v>108</v>
      </c>
      <c r="J33">
        <v>71</v>
      </c>
      <c r="K33">
        <v>186</v>
      </c>
      <c r="L33">
        <v>2.911</v>
      </c>
      <c r="M33">
        <v>16</v>
      </c>
      <c r="N33">
        <v>27</v>
      </c>
      <c r="O33" s="1">
        <v>40704</v>
      </c>
      <c r="P33">
        <v>53.566199869999998</v>
      </c>
      <c r="Q33" t="str">
        <f t="shared" si="0"/>
        <v>Mid-Range</v>
      </c>
    </row>
    <row r="34" spans="1:17" x14ac:dyDescent="0.3">
      <c r="A34" t="s">
        <v>69</v>
      </c>
      <c r="B34" t="s">
        <v>76</v>
      </c>
      <c r="C34">
        <v>13.462</v>
      </c>
      <c r="D34">
        <v>17.324999999999999</v>
      </c>
      <c r="E34" t="s">
        <v>18</v>
      </c>
      <c r="F34">
        <v>28.34</v>
      </c>
      <c r="G34">
        <v>3.5</v>
      </c>
      <c r="H34">
        <v>253</v>
      </c>
      <c r="I34">
        <v>113</v>
      </c>
      <c r="J34">
        <v>74.400000000000006</v>
      </c>
      <c r="K34">
        <v>207.7</v>
      </c>
      <c r="L34">
        <v>3.5640000000000001</v>
      </c>
      <c r="M34">
        <v>17</v>
      </c>
      <c r="N34">
        <v>23</v>
      </c>
      <c r="O34" s="1">
        <v>41126</v>
      </c>
      <c r="P34">
        <v>101.3292807</v>
      </c>
      <c r="Q34" t="str">
        <f t="shared" si="0"/>
        <v>Premium</v>
      </c>
    </row>
    <row r="35" spans="1:17" x14ac:dyDescent="0.3">
      <c r="A35" t="s">
        <v>69</v>
      </c>
      <c r="B35" t="s">
        <v>77</v>
      </c>
      <c r="C35">
        <v>53.48</v>
      </c>
      <c r="D35">
        <v>19.54</v>
      </c>
      <c r="E35" t="s">
        <v>50</v>
      </c>
      <c r="O35" t="s">
        <v>78</v>
      </c>
      <c r="Q35" t="str">
        <f t="shared" si="0"/>
        <v>Budget</v>
      </c>
    </row>
    <row r="36" spans="1:17" x14ac:dyDescent="0.3">
      <c r="A36" t="s">
        <v>69</v>
      </c>
      <c r="B36" t="s">
        <v>79</v>
      </c>
      <c r="C36">
        <v>30.696000000000002</v>
      </c>
      <c r="E36" t="s">
        <v>18</v>
      </c>
      <c r="F36">
        <v>29.184999999999999</v>
      </c>
      <c r="G36">
        <v>3.5</v>
      </c>
      <c r="H36">
        <v>253</v>
      </c>
      <c r="I36">
        <v>113</v>
      </c>
      <c r="J36">
        <v>74.400000000000006</v>
      </c>
      <c r="K36">
        <v>197.8</v>
      </c>
      <c r="L36">
        <v>3.5670000000000002</v>
      </c>
      <c r="M36">
        <v>17</v>
      </c>
      <c r="N36">
        <v>23</v>
      </c>
      <c r="O36" s="1">
        <v>41184</v>
      </c>
      <c r="P36">
        <v>101.6552441</v>
      </c>
      <c r="Q36" t="str">
        <f t="shared" si="0"/>
        <v>Premium</v>
      </c>
    </row>
    <row r="37" spans="1:17" x14ac:dyDescent="0.3">
      <c r="A37" t="s">
        <v>80</v>
      </c>
      <c r="B37" t="s">
        <v>81</v>
      </c>
      <c r="C37">
        <v>76.034000000000006</v>
      </c>
      <c r="D37">
        <v>7.75</v>
      </c>
      <c r="E37" t="s">
        <v>18</v>
      </c>
      <c r="F37">
        <v>12.64</v>
      </c>
      <c r="G37">
        <v>2</v>
      </c>
      <c r="H37">
        <v>132</v>
      </c>
      <c r="I37">
        <v>105</v>
      </c>
      <c r="J37">
        <v>74.400000000000006</v>
      </c>
      <c r="K37">
        <v>174.4</v>
      </c>
      <c r="L37">
        <v>2.5670000000000002</v>
      </c>
      <c r="M37">
        <v>12.5</v>
      </c>
      <c r="N37">
        <v>29</v>
      </c>
      <c r="O37" s="1">
        <v>40889</v>
      </c>
      <c r="P37">
        <v>52.084898750000001</v>
      </c>
      <c r="Q37" t="str">
        <f t="shared" si="0"/>
        <v>Budget</v>
      </c>
    </row>
    <row r="38" spans="1:17" x14ac:dyDescent="0.3">
      <c r="A38" t="s">
        <v>80</v>
      </c>
      <c r="B38" t="s">
        <v>82</v>
      </c>
      <c r="C38">
        <v>4.734</v>
      </c>
      <c r="D38">
        <v>12.545</v>
      </c>
      <c r="E38" t="s">
        <v>18</v>
      </c>
      <c r="F38">
        <v>19.045000000000002</v>
      </c>
      <c r="G38">
        <v>2.5</v>
      </c>
      <c r="H38">
        <v>163</v>
      </c>
      <c r="I38">
        <v>103.7</v>
      </c>
      <c r="J38">
        <v>69.099999999999994</v>
      </c>
      <c r="K38">
        <v>190.2</v>
      </c>
      <c r="L38">
        <v>2.879</v>
      </c>
      <c r="M38">
        <v>15.9</v>
      </c>
      <c r="N38">
        <v>24</v>
      </c>
      <c r="O38" s="1">
        <v>40915</v>
      </c>
      <c r="P38">
        <v>65.650508340000002</v>
      </c>
      <c r="Q38" t="str">
        <f t="shared" si="0"/>
        <v>Mid-Range</v>
      </c>
    </row>
    <row r="39" spans="1:17" x14ac:dyDescent="0.3">
      <c r="A39" t="s">
        <v>80</v>
      </c>
      <c r="B39" t="s">
        <v>83</v>
      </c>
      <c r="C39">
        <v>71.186000000000007</v>
      </c>
      <c r="D39">
        <v>10.185</v>
      </c>
      <c r="E39" t="s">
        <v>18</v>
      </c>
      <c r="F39">
        <v>20.23</v>
      </c>
      <c r="G39">
        <v>2.5</v>
      </c>
      <c r="H39">
        <v>168</v>
      </c>
      <c r="I39">
        <v>108</v>
      </c>
      <c r="J39">
        <v>71</v>
      </c>
      <c r="K39">
        <v>186</v>
      </c>
      <c r="L39">
        <v>3.0579999999999998</v>
      </c>
      <c r="M39">
        <v>16</v>
      </c>
      <c r="N39">
        <v>24</v>
      </c>
      <c r="O39" t="s">
        <v>84</v>
      </c>
      <c r="P39">
        <v>67.876107840000003</v>
      </c>
      <c r="Q39" t="str">
        <f t="shared" si="0"/>
        <v>Mid-Range</v>
      </c>
    </row>
    <row r="40" spans="1:17" x14ac:dyDescent="0.3">
      <c r="A40" t="s">
        <v>80</v>
      </c>
      <c r="B40" t="s">
        <v>85</v>
      </c>
      <c r="C40">
        <v>88.028000000000006</v>
      </c>
      <c r="D40">
        <v>12.275</v>
      </c>
      <c r="E40" t="s">
        <v>18</v>
      </c>
      <c r="F40">
        <v>22.504999999999999</v>
      </c>
      <c r="G40">
        <v>2.7</v>
      </c>
      <c r="H40">
        <v>202</v>
      </c>
      <c r="I40">
        <v>113</v>
      </c>
      <c r="J40">
        <v>74.7</v>
      </c>
      <c r="K40">
        <v>203.7</v>
      </c>
      <c r="L40">
        <v>3.4889999999999999</v>
      </c>
      <c r="M40">
        <v>17</v>
      </c>
      <c r="O40" s="1">
        <v>40945</v>
      </c>
      <c r="P40">
        <v>80.831470170000003</v>
      </c>
      <c r="Q40" t="str">
        <f t="shared" si="0"/>
        <v>Mid-Range</v>
      </c>
    </row>
    <row r="41" spans="1:17" x14ac:dyDescent="0.3">
      <c r="A41" t="s">
        <v>80</v>
      </c>
      <c r="B41" t="s">
        <v>86</v>
      </c>
      <c r="C41">
        <v>0.91600000000000004</v>
      </c>
      <c r="D41">
        <v>58.47</v>
      </c>
      <c r="E41" t="s">
        <v>18</v>
      </c>
      <c r="F41">
        <v>69.724999999999994</v>
      </c>
      <c r="G41">
        <v>8</v>
      </c>
      <c r="H41">
        <v>450</v>
      </c>
      <c r="I41">
        <v>96.2</v>
      </c>
      <c r="J41">
        <v>75.7</v>
      </c>
      <c r="K41">
        <v>176.7</v>
      </c>
      <c r="L41">
        <v>3.375</v>
      </c>
      <c r="M41">
        <v>19</v>
      </c>
      <c r="N41">
        <v>16</v>
      </c>
      <c r="O41" s="1">
        <v>40732</v>
      </c>
      <c r="P41">
        <v>188.14432300000001</v>
      </c>
      <c r="Q41" t="str">
        <f t="shared" si="0"/>
        <v>Luxury</v>
      </c>
    </row>
    <row r="42" spans="1:17" x14ac:dyDescent="0.3">
      <c r="A42" t="s">
        <v>80</v>
      </c>
      <c r="B42" t="s">
        <v>87</v>
      </c>
      <c r="C42">
        <v>227.06100000000001</v>
      </c>
      <c r="D42">
        <v>15.06</v>
      </c>
      <c r="E42" t="s">
        <v>50</v>
      </c>
      <c r="F42">
        <v>19.46</v>
      </c>
      <c r="G42">
        <v>5.2</v>
      </c>
      <c r="H42">
        <v>230</v>
      </c>
      <c r="I42">
        <v>138.69999999999999</v>
      </c>
      <c r="J42">
        <v>79.3</v>
      </c>
      <c r="K42">
        <v>224.2</v>
      </c>
      <c r="L42">
        <v>4.47</v>
      </c>
      <c r="M42">
        <v>26</v>
      </c>
      <c r="N42">
        <v>17</v>
      </c>
      <c r="O42" s="1">
        <v>41063</v>
      </c>
      <c r="P42">
        <v>90.211700050000005</v>
      </c>
      <c r="Q42" t="str">
        <f t="shared" si="0"/>
        <v>Mid-Range</v>
      </c>
    </row>
    <row r="43" spans="1:17" x14ac:dyDescent="0.3">
      <c r="A43" t="s">
        <v>80</v>
      </c>
      <c r="B43" t="s">
        <v>88</v>
      </c>
      <c r="C43">
        <v>16.766999999999999</v>
      </c>
      <c r="D43">
        <v>15.51</v>
      </c>
      <c r="E43" t="s">
        <v>50</v>
      </c>
      <c r="F43">
        <v>21.315000000000001</v>
      </c>
      <c r="G43">
        <v>3.9</v>
      </c>
      <c r="H43">
        <v>175</v>
      </c>
      <c r="I43">
        <v>109.6</v>
      </c>
      <c r="J43">
        <v>78.8</v>
      </c>
      <c r="K43">
        <v>192.6</v>
      </c>
      <c r="L43">
        <v>4.2450000000000001</v>
      </c>
      <c r="M43">
        <v>32</v>
      </c>
      <c r="N43">
        <v>15</v>
      </c>
      <c r="O43" s="1">
        <v>41061</v>
      </c>
      <c r="P43">
        <v>71.135291609999996</v>
      </c>
      <c r="Q43" t="str">
        <f t="shared" si="0"/>
        <v>Mid-Range</v>
      </c>
    </row>
    <row r="44" spans="1:17" x14ac:dyDescent="0.3">
      <c r="A44" t="s">
        <v>80</v>
      </c>
      <c r="B44" t="s">
        <v>89</v>
      </c>
      <c r="C44">
        <v>31.038</v>
      </c>
      <c r="D44">
        <v>13.425000000000001</v>
      </c>
      <c r="E44" t="s">
        <v>50</v>
      </c>
      <c r="F44">
        <v>18.574999999999999</v>
      </c>
      <c r="G44">
        <v>3.9</v>
      </c>
      <c r="H44">
        <v>175</v>
      </c>
      <c r="I44">
        <v>127.2</v>
      </c>
      <c r="J44">
        <v>78.8</v>
      </c>
      <c r="K44">
        <v>208.5</v>
      </c>
      <c r="L44">
        <v>4.298</v>
      </c>
      <c r="M44">
        <v>32</v>
      </c>
      <c r="N44">
        <v>16</v>
      </c>
      <c r="O44" t="s">
        <v>90</v>
      </c>
      <c r="P44">
        <v>70.078321540000005</v>
      </c>
      <c r="Q44" t="str">
        <f t="shared" si="0"/>
        <v>Mid-Range</v>
      </c>
    </row>
    <row r="45" spans="1:17" x14ac:dyDescent="0.3">
      <c r="A45" t="s">
        <v>80</v>
      </c>
      <c r="B45" t="s">
        <v>91</v>
      </c>
      <c r="C45">
        <v>111.313</v>
      </c>
      <c r="D45">
        <v>11.26</v>
      </c>
      <c r="E45" t="s">
        <v>50</v>
      </c>
      <c r="F45">
        <v>16.98</v>
      </c>
      <c r="G45">
        <v>2.5</v>
      </c>
      <c r="H45">
        <v>120</v>
      </c>
      <c r="I45">
        <v>131</v>
      </c>
      <c r="J45">
        <v>71.5</v>
      </c>
      <c r="K45">
        <v>215</v>
      </c>
      <c r="L45">
        <v>3.5569999999999999</v>
      </c>
      <c r="M45">
        <v>22</v>
      </c>
      <c r="N45">
        <v>19</v>
      </c>
      <c r="O45" t="s">
        <v>92</v>
      </c>
      <c r="P45">
        <v>49.64500177</v>
      </c>
      <c r="Q45" t="str">
        <f t="shared" si="0"/>
        <v>Mid-Range</v>
      </c>
    </row>
    <row r="46" spans="1:17" x14ac:dyDescent="0.3">
      <c r="A46" t="s">
        <v>80</v>
      </c>
      <c r="B46" t="s">
        <v>93</v>
      </c>
      <c r="C46">
        <v>101.32299999999999</v>
      </c>
      <c r="E46" t="s">
        <v>50</v>
      </c>
      <c r="F46">
        <v>26.31</v>
      </c>
      <c r="G46">
        <v>5.2</v>
      </c>
      <c r="H46">
        <v>230</v>
      </c>
      <c r="I46">
        <v>115.7</v>
      </c>
      <c r="J46">
        <v>71.7</v>
      </c>
      <c r="K46">
        <v>193.5</v>
      </c>
      <c r="L46">
        <v>4.3940000000000001</v>
      </c>
      <c r="M46">
        <v>25</v>
      </c>
      <c r="N46">
        <v>17</v>
      </c>
      <c r="O46" t="s">
        <v>94</v>
      </c>
      <c r="P46">
        <v>92.85412522</v>
      </c>
      <c r="Q46" t="str">
        <f t="shared" si="0"/>
        <v>Premium</v>
      </c>
    </row>
    <row r="47" spans="1:17" x14ac:dyDescent="0.3">
      <c r="A47" t="s">
        <v>80</v>
      </c>
      <c r="B47" t="s">
        <v>95</v>
      </c>
      <c r="C47">
        <v>181.749</v>
      </c>
      <c r="D47">
        <v>12.025</v>
      </c>
      <c r="E47" t="s">
        <v>50</v>
      </c>
      <c r="F47">
        <v>19.565000000000001</v>
      </c>
      <c r="G47">
        <v>2.4</v>
      </c>
      <c r="H47">
        <v>150</v>
      </c>
      <c r="I47">
        <v>113.3</v>
      </c>
      <c r="J47">
        <v>76.8</v>
      </c>
      <c r="K47">
        <v>186.3</v>
      </c>
      <c r="L47">
        <v>3.5329999999999999</v>
      </c>
      <c r="M47">
        <v>20</v>
      </c>
      <c r="N47">
        <v>24</v>
      </c>
      <c r="O47" s="1">
        <v>40552</v>
      </c>
      <c r="P47">
        <v>61.227000310000001</v>
      </c>
      <c r="Q47" t="str">
        <f t="shared" si="0"/>
        <v>Mid-Range</v>
      </c>
    </row>
    <row r="48" spans="1:17" x14ac:dyDescent="0.3">
      <c r="A48" t="s">
        <v>96</v>
      </c>
      <c r="B48" t="s">
        <v>97</v>
      </c>
      <c r="C48">
        <v>70.227000000000004</v>
      </c>
      <c r="D48">
        <v>7.4249999999999998</v>
      </c>
      <c r="E48" t="s">
        <v>18</v>
      </c>
      <c r="F48">
        <v>12.07</v>
      </c>
      <c r="G48">
        <v>2</v>
      </c>
      <c r="H48">
        <v>110</v>
      </c>
      <c r="I48">
        <v>98.4</v>
      </c>
      <c r="J48">
        <v>67</v>
      </c>
      <c r="K48">
        <v>174.7</v>
      </c>
      <c r="L48">
        <v>2.468</v>
      </c>
      <c r="M48">
        <v>12.7</v>
      </c>
      <c r="N48">
        <v>30</v>
      </c>
      <c r="O48" t="s">
        <v>98</v>
      </c>
      <c r="P48">
        <v>44.083709460000001</v>
      </c>
      <c r="Q48" t="str">
        <f t="shared" si="0"/>
        <v>Budget</v>
      </c>
    </row>
    <row r="49" spans="1:17" x14ac:dyDescent="0.3">
      <c r="A49" t="s">
        <v>96</v>
      </c>
      <c r="B49" t="s">
        <v>99</v>
      </c>
      <c r="C49">
        <v>113.369</v>
      </c>
      <c r="D49">
        <v>12.76</v>
      </c>
      <c r="E49" t="s">
        <v>18</v>
      </c>
      <c r="F49">
        <v>21.56</v>
      </c>
      <c r="G49">
        <v>3.8</v>
      </c>
      <c r="H49">
        <v>190</v>
      </c>
      <c r="I49">
        <v>101.3</v>
      </c>
      <c r="J49">
        <v>73.099999999999994</v>
      </c>
      <c r="K49">
        <v>183.2</v>
      </c>
      <c r="L49">
        <v>3.2029999999999998</v>
      </c>
      <c r="M49">
        <v>15.7</v>
      </c>
      <c r="N49">
        <v>24</v>
      </c>
      <c r="O49" t="s">
        <v>100</v>
      </c>
      <c r="P49">
        <v>76.509184559999994</v>
      </c>
      <c r="Q49" t="str">
        <f t="shared" si="0"/>
        <v>Mid-Range</v>
      </c>
    </row>
    <row r="50" spans="1:17" x14ac:dyDescent="0.3">
      <c r="A50" t="s">
        <v>96</v>
      </c>
      <c r="B50" t="s">
        <v>101</v>
      </c>
      <c r="C50">
        <v>35.067999999999998</v>
      </c>
      <c r="D50">
        <v>8.8350000000000009</v>
      </c>
      <c r="E50" t="s">
        <v>18</v>
      </c>
      <c r="F50">
        <v>17.035</v>
      </c>
      <c r="G50">
        <v>2.5</v>
      </c>
      <c r="H50">
        <v>170</v>
      </c>
      <c r="I50">
        <v>106.5</v>
      </c>
      <c r="J50">
        <v>69.099999999999994</v>
      </c>
      <c r="K50">
        <v>184.6</v>
      </c>
      <c r="L50">
        <v>2.7690000000000001</v>
      </c>
      <c r="M50">
        <v>15</v>
      </c>
      <c r="N50">
        <v>25</v>
      </c>
      <c r="O50" t="s">
        <v>102</v>
      </c>
      <c r="P50">
        <v>67.351010720000005</v>
      </c>
      <c r="Q50" t="str">
        <f t="shared" si="0"/>
        <v>Mid-Range</v>
      </c>
    </row>
    <row r="51" spans="1:17" x14ac:dyDescent="0.3">
      <c r="A51" t="s">
        <v>96</v>
      </c>
      <c r="B51" t="s">
        <v>103</v>
      </c>
      <c r="C51">
        <v>245.815</v>
      </c>
      <c r="D51">
        <v>10.055</v>
      </c>
      <c r="E51" t="s">
        <v>18</v>
      </c>
      <c r="F51">
        <v>17.885000000000002</v>
      </c>
      <c r="G51">
        <v>3</v>
      </c>
      <c r="H51">
        <v>155</v>
      </c>
      <c r="I51">
        <v>108.5</v>
      </c>
      <c r="J51">
        <v>73</v>
      </c>
      <c r="K51">
        <v>197.6</v>
      </c>
      <c r="L51">
        <v>3.3679999999999999</v>
      </c>
      <c r="M51">
        <v>16</v>
      </c>
      <c r="N51">
        <v>24</v>
      </c>
      <c r="O51" t="s">
        <v>104</v>
      </c>
      <c r="P51">
        <v>62.503739500000002</v>
      </c>
      <c r="Q51" t="str">
        <f t="shared" si="0"/>
        <v>Mid-Range</v>
      </c>
    </row>
    <row r="52" spans="1:17" x14ac:dyDescent="0.3">
      <c r="A52" t="s">
        <v>96</v>
      </c>
      <c r="B52" t="s">
        <v>105</v>
      </c>
      <c r="C52">
        <v>175.67</v>
      </c>
      <c r="E52" t="s">
        <v>18</v>
      </c>
      <c r="F52">
        <v>12.315</v>
      </c>
      <c r="G52">
        <v>2</v>
      </c>
      <c r="H52">
        <v>107</v>
      </c>
      <c r="I52">
        <v>103</v>
      </c>
      <c r="J52">
        <v>66.900000000000006</v>
      </c>
      <c r="K52">
        <v>174.8</v>
      </c>
      <c r="L52">
        <v>2.5640000000000001</v>
      </c>
      <c r="M52">
        <v>13.2</v>
      </c>
      <c r="N52">
        <v>30</v>
      </c>
      <c r="O52" t="s">
        <v>106</v>
      </c>
      <c r="P52">
        <v>43.117132009999999</v>
      </c>
      <c r="Q52" t="str">
        <f t="shared" si="0"/>
        <v>Budget</v>
      </c>
    </row>
    <row r="53" spans="1:17" x14ac:dyDescent="0.3">
      <c r="A53" t="s">
        <v>96</v>
      </c>
      <c r="B53" t="s">
        <v>107</v>
      </c>
      <c r="C53">
        <v>63.402999999999999</v>
      </c>
      <c r="D53">
        <v>14.21</v>
      </c>
      <c r="E53" t="s">
        <v>18</v>
      </c>
      <c r="F53">
        <v>22.195</v>
      </c>
      <c r="G53">
        <v>4.5999999999999996</v>
      </c>
      <c r="H53">
        <v>200</v>
      </c>
      <c r="I53">
        <v>114.7</v>
      </c>
      <c r="J53">
        <v>78.2</v>
      </c>
      <c r="K53">
        <v>212</v>
      </c>
      <c r="L53">
        <v>3.9079999999999999</v>
      </c>
      <c r="M53">
        <v>19</v>
      </c>
      <c r="N53">
        <v>21</v>
      </c>
      <c r="O53" t="s">
        <v>108</v>
      </c>
      <c r="P53">
        <v>80.499536710000001</v>
      </c>
      <c r="Q53" t="str">
        <f t="shared" si="0"/>
        <v>Mid-Range</v>
      </c>
    </row>
    <row r="54" spans="1:17" x14ac:dyDescent="0.3">
      <c r="A54" t="s">
        <v>96</v>
      </c>
      <c r="B54" t="s">
        <v>109</v>
      </c>
      <c r="C54">
        <v>276.74700000000001</v>
      </c>
      <c r="D54">
        <v>16.64</v>
      </c>
      <c r="E54" t="s">
        <v>50</v>
      </c>
      <c r="F54">
        <v>31.93</v>
      </c>
      <c r="G54">
        <v>4</v>
      </c>
      <c r="H54">
        <v>210</v>
      </c>
      <c r="I54">
        <v>111.6</v>
      </c>
      <c r="J54">
        <v>70.2</v>
      </c>
      <c r="K54">
        <v>190.7</v>
      </c>
      <c r="L54">
        <v>3.8759999999999999</v>
      </c>
      <c r="M54">
        <v>21</v>
      </c>
      <c r="N54">
        <v>19</v>
      </c>
      <c r="O54" t="s">
        <v>110</v>
      </c>
      <c r="P54">
        <v>87.635495779999999</v>
      </c>
      <c r="Q54" t="str">
        <f t="shared" si="0"/>
        <v>Premium</v>
      </c>
    </row>
    <row r="55" spans="1:17" x14ac:dyDescent="0.3">
      <c r="A55" t="s">
        <v>96</v>
      </c>
      <c r="B55" t="s">
        <v>111</v>
      </c>
      <c r="C55">
        <v>155.78700000000001</v>
      </c>
      <c r="D55">
        <v>13.175000000000001</v>
      </c>
      <c r="E55" t="s">
        <v>50</v>
      </c>
      <c r="F55">
        <v>21.41</v>
      </c>
      <c r="G55">
        <v>3</v>
      </c>
      <c r="H55">
        <v>150</v>
      </c>
      <c r="I55">
        <v>120.7</v>
      </c>
      <c r="J55">
        <v>76.599999999999994</v>
      </c>
      <c r="K55">
        <v>200.9</v>
      </c>
      <c r="L55">
        <v>3.7610000000000001</v>
      </c>
      <c r="M55">
        <v>26</v>
      </c>
      <c r="N55">
        <v>21</v>
      </c>
      <c r="O55" t="s">
        <v>112</v>
      </c>
      <c r="P55">
        <v>62.095048390000002</v>
      </c>
      <c r="Q55" t="str">
        <f t="shared" si="0"/>
        <v>Mid-Range</v>
      </c>
    </row>
    <row r="56" spans="1:17" x14ac:dyDescent="0.3">
      <c r="A56" t="s">
        <v>96</v>
      </c>
      <c r="B56" t="s">
        <v>113</v>
      </c>
      <c r="C56">
        <v>125.33799999999999</v>
      </c>
      <c r="D56">
        <v>23.574999999999999</v>
      </c>
      <c r="E56" t="s">
        <v>50</v>
      </c>
      <c r="F56">
        <v>36.134999999999998</v>
      </c>
      <c r="G56">
        <v>4.5999999999999996</v>
      </c>
      <c r="H56">
        <v>240</v>
      </c>
      <c r="I56">
        <v>119</v>
      </c>
      <c r="J56">
        <v>78.7</v>
      </c>
      <c r="K56">
        <v>204.6</v>
      </c>
      <c r="L56">
        <v>4.8079999999999998</v>
      </c>
      <c r="M56">
        <v>26</v>
      </c>
      <c r="N56">
        <v>16</v>
      </c>
      <c r="O56" t="s">
        <v>114</v>
      </c>
      <c r="P56">
        <v>100.0248023</v>
      </c>
      <c r="Q56" t="str">
        <f t="shared" si="0"/>
        <v>Premium</v>
      </c>
    </row>
    <row r="57" spans="1:17" x14ac:dyDescent="0.3">
      <c r="A57" t="s">
        <v>96</v>
      </c>
      <c r="B57" t="s">
        <v>115</v>
      </c>
      <c r="C57">
        <v>220.65</v>
      </c>
      <c r="D57">
        <v>7.85</v>
      </c>
      <c r="E57" t="s">
        <v>50</v>
      </c>
      <c r="F57">
        <v>12.05</v>
      </c>
      <c r="G57">
        <v>2.5</v>
      </c>
      <c r="H57">
        <v>119</v>
      </c>
      <c r="I57">
        <v>117.5</v>
      </c>
      <c r="J57">
        <v>69.400000000000006</v>
      </c>
      <c r="K57">
        <v>200.7</v>
      </c>
      <c r="L57">
        <v>3.0859999999999999</v>
      </c>
      <c r="M57">
        <v>20</v>
      </c>
      <c r="N57">
        <v>23</v>
      </c>
      <c r="O57" t="s">
        <v>116</v>
      </c>
      <c r="P57">
        <v>47.389531310000002</v>
      </c>
      <c r="Q57" t="str">
        <f t="shared" si="0"/>
        <v>Budget</v>
      </c>
    </row>
    <row r="58" spans="1:17" x14ac:dyDescent="0.3">
      <c r="A58" t="s">
        <v>96</v>
      </c>
      <c r="B58" t="s">
        <v>117</v>
      </c>
      <c r="C58">
        <v>540.56100000000004</v>
      </c>
      <c r="D58">
        <v>15.074999999999999</v>
      </c>
      <c r="E58" t="s">
        <v>50</v>
      </c>
      <c r="F58">
        <v>26.934999999999999</v>
      </c>
      <c r="G58">
        <v>4.5999999999999996</v>
      </c>
      <c r="H58">
        <v>220</v>
      </c>
      <c r="I58">
        <v>138.5</v>
      </c>
      <c r="J58">
        <v>79.099999999999994</v>
      </c>
      <c r="K58">
        <v>224.5</v>
      </c>
      <c r="L58">
        <v>4.2409999999999997</v>
      </c>
      <c r="M58">
        <v>25.1</v>
      </c>
      <c r="N58">
        <v>18</v>
      </c>
      <c r="O58" t="s">
        <v>118</v>
      </c>
      <c r="P58">
        <v>89.401934729999994</v>
      </c>
      <c r="Q58" t="str">
        <f t="shared" si="0"/>
        <v>Premium</v>
      </c>
    </row>
    <row r="59" spans="1:17" x14ac:dyDescent="0.3">
      <c r="A59" t="s">
        <v>119</v>
      </c>
      <c r="B59" t="s">
        <v>120</v>
      </c>
      <c r="C59">
        <v>199.685</v>
      </c>
      <c r="D59">
        <v>9.85</v>
      </c>
      <c r="E59" t="s">
        <v>18</v>
      </c>
      <c r="F59">
        <v>12.885</v>
      </c>
      <c r="G59">
        <v>1.6</v>
      </c>
      <c r="H59">
        <v>106</v>
      </c>
      <c r="I59">
        <v>103.2</v>
      </c>
      <c r="J59">
        <v>67.099999999999994</v>
      </c>
      <c r="K59">
        <v>175.1</v>
      </c>
      <c r="L59">
        <v>2.339</v>
      </c>
      <c r="M59">
        <v>11.9</v>
      </c>
      <c r="N59">
        <v>32</v>
      </c>
      <c r="O59" t="s">
        <v>121</v>
      </c>
      <c r="P59">
        <v>42.879097340000001</v>
      </c>
      <c r="Q59" t="str">
        <f t="shared" si="0"/>
        <v>Budget</v>
      </c>
    </row>
    <row r="60" spans="1:17" x14ac:dyDescent="0.3">
      <c r="A60" t="s">
        <v>119</v>
      </c>
      <c r="B60" t="s">
        <v>122</v>
      </c>
      <c r="C60">
        <v>230.90199999999999</v>
      </c>
      <c r="D60">
        <v>13.21</v>
      </c>
      <c r="E60" t="s">
        <v>18</v>
      </c>
      <c r="F60">
        <v>15.35</v>
      </c>
      <c r="G60">
        <v>2.2999999999999998</v>
      </c>
      <c r="H60">
        <v>135</v>
      </c>
      <c r="I60">
        <v>106.9</v>
      </c>
      <c r="J60">
        <v>70.3</v>
      </c>
      <c r="K60">
        <v>188.8</v>
      </c>
      <c r="L60">
        <v>2.9319999999999999</v>
      </c>
      <c r="M60">
        <v>17.100000000000001</v>
      </c>
      <c r="N60">
        <v>27</v>
      </c>
      <c r="O60" t="s">
        <v>123</v>
      </c>
      <c r="P60">
        <v>54.269548290000003</v>
      </c>
      <c r="Q60" t="str">
        <f t="shared" si="0"/>
        <v>Mid-Range</v>
      </c>
    </row>
    <row r="61" spans="1:17" x14ac:dyDescent="0.3">
      <c r="A61" t="s">
        <v>119</v>
      </c>
      <c r="B61" t="s">
        <v>124</v>
      </c>
      <c r="C61">
        <v>73.203000000000003</v>
      </c>
      <c r="D61">
        <v>17.71</v>
      </c>
      <c r="E61" t="s">
        <v>50</v>
      </c>
      <c r="F61">
        <v>20.55</v>
      </c>
      <c r="G61">
        <v>2</v>
      </c>
      <c r="H61">
        <v>146</v>
      </c>
      <c r="I61">
        <v>103.2</v>
      </c>
      <c r="J61">
        <v>68.900000000000006</v>
      </c>
      <c r="K61">
        <v>177.6</v>
      </c>
      <c r="L61">
        <v>3.2189999999999999</v>
      </c>
      <c r="M61">
        <v>15.3</v>
      </c>
      <c r="N61">
        <v>24</v>
      </c>
      <c r="O61" t="s">
        <v>125</v>
      </c>
      <c r="P61">
        <v>60.087966620000003</v>
      </c>
      <c r="Q61" t="str">
        <f t="shared" si="0"/>
        <v>Mid-Range</v>
      </c>
    </row>
    <row r="62" spans="1:17" x14ac:dyDescent="0.3">
      <c r="A62" t="s">
        <v>119</v>
      </c>
      <c r="B62" t="s">
        <v>126</v>
      </c>
      <c r="C62">
        <v>12.855</v>
      </c>
      <c r="D62">
        <v>17.524999999999999</v>
      </c>
      <c r="E62" t="s">
        <v>50</v>
      </c>
      <c r="F62">
        <v>26.6</v>
      </c>
      <c r="G62">
        <v>3.2</v>
      </c>
      <c r="H62">
        <v>205</v>
      </c>
      <c r="I62">
        <v>106.4</v>
      </c>
      <c r="J62">
        <v>70.400000000000006</v>
      </c>
      <c r="K62">
        <v>178.2</v>
      </c>
      <c r="L62">
        <v>3.8570000000000002</v>
      </c>
      <c r="M62">
        <v>21.1</v>
      </c>
      <c r="N62">
        <v>19</v>
      </c>
      <c r="O62" s="1">
        <v>41162</v>
      </c>
      <c r="P62">
        <v>83.602500800000001</v>
      </c>
      <c r="Q62" t="str">
        <f t="shared" si="0"/>
        <v>Premium</v>
      </c>
    </row>
    <row r="63" spans="1:17" x14ac:dyDescent="0.3">
      <c r="A63" t="s">
        <v>119</v>
      </c>
      <c r="B63" t="s">
        <v>127</v>
      </c>
      <c r="C63">
        <v>76.028999999999996</v>
      </c>
      <c r="D63">
        <v>19.489999999999998</v>
      </c>
      <c r="E63" t="s">
        <v>50</v>
      </c>
      <c r="F63">
        <v>26</v>
      </c>
      <c r="G63">
        <v>3.5</v>
      </c>
      <c r="H63">
        <v>210</v>
      </c>
      <c r="I63">
        <v>118.1</v>
      </c>
      <c r="J63">
        <v>75.599999999999994</v>
      </c>
      <c r="K63">
        <v>201.2</v>
      </c>
      <c r="L63">
        <v>4.2880000000000003</v>
      </c>
      <c r="M63">
        <v>20</v>
      </c>
      <c r="N63">
        <v>23</v>
      </c>
      <c r="O63" s="1">
        <v>41123</v>
      </c>
      <c r="P63">
        <v>85.217691340000002</v>
      </c>
      <c r="Q63" t="str">
        <f t="shared" si="0"/>
        <v>Premium</v>
      </c>
    </row>
    <row r="64" spans="1:17" x14ac:dyDescent="0.3">
      <c r="A64" t="s">
        <v>128</v>
      </c>
      <c r="B64" t="s">
        <v>129</v>
      </c>
      <c r="C64">
        <v>41.183999999999997</v>
      </c>
      <c r="D64">
        <v>5.86</v>
      </c>
      <c r="E64" t="s">
        <v>18</v>
      </c>
      <c r="F64">
        <v>9.6989999999999998</v>
      </c>
      <c r="G64">
        <v>1.5</v>
      </c>
      <c r="H64">
        <v>92</v>
      </c>
      <c r="I64">
        <v>96.1</v>
      </c>
      <c r="J64">
        <v>65.7</v>
      </c>
      <c r="K64">
        <v>166.7</v>
      </c>
      <c r="L64">
        <v>2.2400000000000002</v>
      </c>
      <c r="M64">
        <v>11.9</v>
      </c>
      <c r="N64">
        <v>31</v>
      </c>
      <c r="O64" s="1">
        <v>41191</v>
      </c>
      <c r="P64">
        <v>36.672283579999998</v>
      </c>
      <c r="Q64" t="str">
        <f t="shared" si="0"/>
        <v>Budget</v>
      </c>
    </row>
    <row r="65" spans="1:17" x14ac:dyDescent="0.3">
      <c r="A65" t="s">
        <v>128</v>
      </c>
      <c r="B65" t="s">
        <v>130</v>
      </c>
      <c r="C65">
        <v>66.691999999999993</v>
      </c>
      <c r="D65">
        <v>7.8250000000000002</v>
      </c>
      <c r="E65" t="s">
        <v>18</v>
      </c>
      <c r="F65">
        <v>11.798999999999999</v>
      </c>
      <c r="G65">
        <v>2</v>
      </c>
      <c r="H65">
        <v>140</v>
      </c>
      <c r="I65">
        <v>100.4</v>
      </c>
      <c r="J65">
        <v>66.900000000000006</v>
      </c>
      <c r="K65">
        <v>174</v>
      </c>
      <c r="L65">
        <v>2.6259999999999999</v>
      </c>
      <c r="M65">
        <v>14.5</v>
      </c>
      <c r="N65">
        <v>27</v>
      </c>
      <c r="O65" t="s">
        <v>131</v>
      </c>
      <c r="P65">
        <v>54.590045160000003</v>
      </c>
      <c r="Q65" t="str">
        <f t="shared" si="0"/>
        <v>Budget</v>
      </c>
    </row>
    <row r="66" spans="1:17" x14ac:dyDescent="0.3">
      <c r="A66" t="s">
        <v>128</v>
      </c>
      <c r="B66" t="s">
        <v>132</v>
      </c>
      <c r="C66">
        <v>29.45</v>
      </c>
      <c r="D66">
        <v>8.91</v>
      </c>
      <c r="E66" t="s">
        <v>18</v>
      </c>
      <c r="F66">
        <v>14.999000000000001</v>
      </c>
      <c r="G66">
        <v>2.4</v>
      </c>
      <c r="H66">
        <v>148</v>
      </c>
      <c r="I66">
        <v>106.3</v>
      </c>
      <c r="J66">
        <v>71.599999999999994</v>
      </c>
      <c r="K66">
        <v>185.4</v>
      </c>
      <c r="L66">
        <v>3.0720000000000001</v>
      </c>
      <c r="M66">
        <v>17.2</v>
      </c>
      <c r="N66">
        <v>25</v>
      </c>
      <c r="O66" t="s">
        <v>133</v>
      </c>
      <c r="P66">
        <v>58.758248999999999</v>
      </c>
      <c r="Q66" t="str">
        <f t="shared" si="0"/>
        <v>Budget</v>
      </c>
    </row>
    <row r="67" spans="1:17" x14ac:dyDescent="0.3">
      <c r="A67" t="s">
        <v>134</v>
      </c>
      <c r="B67" t="s">
        <v>135</v>
      </c>
      <c r="C67">
        <v>23.713000000000001</v>
      </c>
      <c r="D67">
        <v>19.690000000000001</v>
      </c>
      <c r="E67" t="s">
        <v>18</v>
      </c>
      <c r="F67">
        <v>29.465</v>
      </c>
      <c r="G67">
        <v>3</v>
      </c>
      <c r="H67">
        <v>227</v>
      </c>
      <c r="I67">
        <v>108.3</v>
      </c>
      <c r="J67">
        <v>70.2</v>
      </c>
      <c r="K67">
        <v>193.7</v>
      </c>
      <c r="L67">
        <v>3.3420000000000001</v>
      </c>
      <c r="M67">
        <v>18.5</v>
      </c>
      <c r="N67">
        <v>25</v>
      </c>
      <c r="O67" t="s">
        <v>136</v>
      </c>
      <c r="P67">
        <v>92.436889230000006</v>
      </c>
      <c r="Q67" t="str">
        <f t="shared" ref="Q67:Q130" si="1">IF(F67&lt;15,"Budget",IF(F67&lt;25,"Mid-Range",IF(F67&lt;40,"Premium","Luxury")))</f>
        <v>Premium</v>
      </c>
    </row>
    <row r="68" spans="1:17" x14ac:dyDescent="0.3">
      <c r="A68" t="s">
        <v>137</v>
      </c>
      <c r="B68" t="s">
        <v>138</v>
      </c>
      <c r="C68">
        <v>15.467000000000001</v>
      </c>
      <c r="E68" t="s">
        <v>18</v>
      </c>
      <c r="F68">
        <v>42.8</v>
      </c>
      <c r="G68">
        <v>3</v>
      </c>
      <c r="H68">
        <v>240</v>
      </c>
      <c r="I68">
        <v>114.5</v>
      </c>
      <c r="J68">
        <v>71.599999999999994</v>
      </c>
      <c r="K68">
        <v>191.3</v>
      </c>
      <c r="L68">
        <v>3.65</v>
      </c>
      <c r="M68">
        <v>18.399999999999999</v>
      </c>
      <c r="N68">
        <v>21</v>
      </c>
      <c r="O68" s="1">
        <v>40979</v>
      </c>
      <c r="P68">
        <v>102.17898479999999</v>
      </c>
      <c r="Q68" t="str">
        <f t="shared" si="1"/>
        <v>Luxury</v>
      </c>
    </row>
    <row r="69" spans="1:17" x14ac:dyDescent="0.3">
      <c r="A69" t="s">
        <v>139</v>
      </c>
      <c r="B69" t="s">
        <v>140</v>
      </c>
      <c r="C69">
        <v>55.557000000000002</v>
      </c>
      <c r="D69">
        <v>13.475</v>
      </c>
      <c r="E69" t="s">
        <v>50</v>
      </c>
      <c r="F69">
        <v>14.46</v>
      </c>
      <c r="G69">
        <v>2.5</v>
      </c>
      <c r="H69">
        <v>120</v>
      </c>
      <c r="I69">
        <v>93.4</v>
      </c>
      <c r="J69">
        <v>66.7</v>
      </c>
      <c r="K69">
        <v>152</v>
      </c>
      <c r="L69">
        <v>3.0449999999999999</v>
      </c>
      <c r="M69">
        <v>19</v>
      </c>
      <c r="N69">
        <v>17</v>
      </c>
      <c r="O69" s="1">
        <v>41002</v>
      </c>
      <c r="P69">
        <v>48.672897910000003</v>
      </c>
      <c r="Q69" t="str">
        <f t="shared" si="1"/>
        <v>Budget</v>
      </c>
    </row>
    <row r="70" spans="1:17" x14ac:dyDescent="0.3">
      <c r="A70" t="s">
        <v>139</v>
      </c>
      <c r="B70" t="s">
        <v>141</v>
      </c>
      <c r="C70">
        <v>80.555999999999997</v>
      </c>
      <c r="D70">
        <v>13.775</v>
      </c>
      <c r="E70" t="s">
        <v>50</v>
      </c>
      <c r="F70">
        <v>21.62</v>
      </c>
      <c r="G70">
        <v>4</v>
      </c>
      <c r="H70">
        <v>190</v>
      </c>
      <c r="I70">
        <v>101.4</v>
      </c>
      <c r="J70">
        <v>69.400000000000006</v>
      </c>
      <c r="K70">
        <v>167.5</v>
      </c>
      <c r="L70">
        <v>3.194</v>
      </c>
      <c r="M70">
        <v>20</v>
      </c>
      <c r="N70">
        <v>20</v>
      </c>
      <c r="O70" s="1">
        <v>41039</v>
      </c>
      <c r="P70">
        <v>76.584439619999998</v>
      </c>
      <c r="Q70" t="str">
        <f t="shared" si="1"/>
        <v>Mid-Range</v>
      </c>
    </row>
    <row r="71" spans="1:17" x14ac:dyDescent="0.3">
      <c r="A71" t="s">
        <v>139</v>
      </c>
      <c r="B71" t="s">
        <v>142</v>
      </c>
      <c r="C71">
        <v>157.04</v>
      </c>
      <c r="D71">
        <v>18.809999999999999</v>
      </c>
      <c r="E71" t="s">
        <v>50</v>
      </c>
      <c r="F71">
        <v>26.895</v>
      </c>
      <c r="G71">
        <v>4</v>
      </c>
      <c r="H71">
        <v>195</v>
      </c>
      <c r="I71">
        <v>105.9</v>
      </c>
      <c r="J71">
        <v>72.3</v>
      </c>
      <c r="K71">
        <v>181.5</v>
      </c>
      <c r="L71">
        <v>3.88</v>
      </c>
      <c r="M71">
        <v>20.5</v>
      </c>
      <c r="N71">
        <v>19</v>
      </c>
      <c r="O71" s="1">
        <v>40828</v>
      </c>
      <c r="P71">
        <v>80.387779120000005</v>
      </c>
      <c r="Q71" t="str">
        <f t="shared" si="1"/>
        <v>Premium</v>
      </c>
    </row>
    <row r="72" spans="1:17" x14ac:dyDescent="0.3">
      <c r="A72" t="s">
        <v>143</v>
      </c>
      <c r="B72" t="s">
        <v>144</v>
      </c>
      <c r="C72">
        <v>24.071999999999999</v>
      </c>
      <c r="D72">
        <v>26.975000000000001</v>
      </c>
      <c r="E72" t="s">
        <v>18</v>
      </c>
      <c r="F72">
        <v>31.504999999999999</v>
      </c>
      <c r="G72">
        <v>3</v>
      </c>
      <c r="H72">
        <v>210</v>
      </c>
      <c r="I72">
        <v>105.1</v>
      </c>
      <c r="J72">
        <v>70.5</v>
      </c>
      <c r="K72">
        <v>190.2</v>
      </c>
      <c r="L72">
        <v>3.3730000000000002</v>
      </c>
      <c r="M72">
        <v>18.5</v>
      </c>
      <c r="N72">
        <v>23</v>
      </c>
      <c r="O72" s="1">
        <v>41159</v>
      </c>
      <c r="P72">
        <v>87.211001039999999</v>
      </c>
      <c r="Q72" t="str">
        <f t="shared" si="1"/>
        <v>Premium</v>
      </c>
    </row>
    <row r="73" spans="1:17" x14ac:dyDescent="0.3">
      <c r="A73" t="s">
        <v>143</v>
      </c>
      <c r="B73" t="s">
        <v>145</v>
      </c>
      <c r="C73">
        <v>12.698</v>
      </c>
      <c r="D73">
        <v>32.075000000000003</v>
      </c>
      <c r="E73" t="s">
        <v>18</v>
      </c>
      <c r="F73">
        <v>37.805</v>
      </c>
      <c r="G73">
        <v>3</v>
      </c>
      <c r="H73">
        <v>225</v>
      </c>
      <c r="I73">
        <v>110.2</v>
      </c>
      <c r="J73">
        <v>70.900000000000006</v>
      </c>
      <c r="K73">
        <v>189.2</v>
      </c>
      <c r="L73">
        <v>3.6379999999999999</v>
      </c>
      <c r="M73">
        <v>19.8</v>
      </c>
      <c r="N73">
        <v>23</v>
      </c>
      <c r="O73" s="1">
        <v>41187</v>
      </c>
      <c r="P73">
        <v>94.946698400000002</v>
      </c>
      <c r="Q73" t="str">
        <f t="shared" si="1"/>
        <v>Premium</v>
      </c>
    </row>
    <row r="74" spans="1:17" x14ac:dyDescent="0.3">
      <c r="A74" t="s">
        <v>143</v>
      </c>
      <c r="B74" t="s">
        <v>146</v>
      </c>
      <c r="C74">
        <v>3.3340000000000001</v>
      </c>
      <c r="E74" t="s">
        <v>18</v>
      </c>
      <c r="F74">
        <v>46.305</v>
      </c>
      <c r="G74">
        <v>4</v>
      </c>
      <c r="H74">
        <v>300</v>
      </c>
      <c r="I74">
        <v>110.2</v>
      </c>
      <c r="J74">
        <v>70.900000000000006</v>
      </c>
      <c r="K74">
        <v>189.2</v>
      </c>
      <c r="L74">
        <v>3.6930000000000001</v>
      </c>
      <c r="M74">
        <v>19.8</v>
      </c>
      <c r="N74">
        <v>21</v>
      </c>
      <c r="O74" t="s">
        <v>147</v>
      </c>
      <c r="P74">
        <v>125.0133574</v>
      </c>
      <c r="Q74" t="str">
        <f t="shared" si="1"/>
        <v>Luxury</v>
      </c>
    </row>
    <row r="75" spans="1:17" x14ac:dyDescent="0.3">
      <c r="A75" t="s">
        <v>143</v>
      </c>
      <c r="B75" t="s">
        <v>148</v>
      </c>
      <c r="C75">
        <v>6.375</v>
      </c>
      <c r="D75">
        <v>40.375</v>
      </c>
      <c r="E75" t="s">
        <v>18</v>
      </c>
      <c r="F75">
        <v>54.005000000000003</v>
      </c>
      <c r="G75">
        <v>4</v>
      </c>
      <c r="H75">
        <v>290</v>
      </c>
      <c r="I75">
        <v>112.2</v>
      </c>
      <c r="J75">
        <v>72</v>
      </c>
      <c r="K75">
        <v>196.7</v>
      </c>
      <c r="L75">
        <v>3.89</v>
      </c>
      <c r="M75">
        <v>22.5</v>
      </c>
      <c r="N75">
        <v>22</v>
      </c>
      <c r="O75" t="s">
        <v>149</v>
      </c>
      <c r="P75">
        <v>124.44671630000001</v>
      </c>
      <c r="Q75" t="str">
        <f t="shared" si="1"/>
        <v>Luxury</v>
      </c>
    </row>
    <row r="76" spans="1:17" x14ac:dyDescent="0.3">
      <c r="A76" t="s">
        <v>143</v>
      </c>
      <c r="B76" t="s">
        <v>150</v>
      </c>
      <c r="C76">
        <v>9.1259999999999994</v>
      </c>
      <c r="E76" t="s">
        <v>50</v>
      </c>
      <c r="F76">
        <v>60.104999999999997</v>
      </c>
      <c r="G76">
        <v>4.7</v>
      </c>
      <c r="H76">
        <v>230</v>
      </c>
      <c r="I76">
        <v>112.2</v>
      </c>
      <c r="J76">
        <v>76.400000000000006</v>
      </c>
      <c r="K76">
        <v>192.5</v>
      </c>
      <c r="L76">
        <v>5.4009999999999998</v>
      </c>
      <c r="M76">
        <v>25.4</v>
      </c>
      <c r="N76">
        <v>15</v>
      </c>
      <c r="O76" t="s">
        <v>151</v>
      </c>
      <c r="P76">
        <v>105.760458</v>
      </c>
      <c r="Q76" t="str">
        <f t="shared" si="1"/>
        <v>Luxury</v>
      </c>
    </row>
    <row r="77" spans="1:17" x14ac:dyDescent="0.3">
      <c r="A77" t="s">
        <v>143</v>
      </c>
      <c r="B77" t="s">
        <v>152</v>
      </c>
      <c r="C77">
        <v>51.238</v>
      </c>
      <c r="E77" t="s">
        <v>50</v>
      </c>
      <c r="F77">
        <v>34.604999999999997</v>
      </c>
      <c r="G77">
        <v>3</v>
      </c>
      <c r="H77">
        <v>220</v>
      </c>
      <c r="I77">
        <v>103</v>
      </c>
      <c r="J77">
        <v>71.5</v>
      </c>
      <c r="K77">
        <v>180.1</v>
      </c>
      <c r="L77">
        <v>3.9</v>
      </c>
      <c r="M77">
        <v>17.2</v>
      </c>
      <c r="N77">
        <v>21</v>
      </c>
      <c r="O77" s="1">
        <v>41000</v>
      </c>
      <c r="P77">
        <v>91.943801559999997</v>
      </c>
      <c r="Q77" t="str">
        <f t="shared" si="1"/>
        <v>Premium</v>
      </c>
    </row>
    <row r="78" spans="1:17" x14ac:dyDescent="0.3">
      <c r="A78" t="s">
        <v>153</v>
      </c>
      <c r="B78" t="s">
        <v>154</v>
      </c>
      <c r="C78">
        <v>13.798</v>
      </c>
      <c r="D78">
        <v>20.524999999999999</v>
      </c>
      <c r="E78" t="s">
        <v>18</v>
      </c>
      <c r="F78">
        <v>39.08</v>
      </c>
      <c r="G78">
        <v>4.5999999999999996</v>
      </c>
      <c r="H78">
        <v>275</v>
      </c>
      <c r="I78">
        <v>109</v>
      </c>
      <c r="J78">
        <v>73.599999999999994</v>
      </c>
      <c r="K78">
        <v>208.5</v>
      </c>
      <c r="L78">
        <v>3.8679999999999999</v>
      </c>
      <c r="M78">
        <v>20</v>
      </c>
      <c r="N78">
        <v>22</v>
      </c>
      <c r="O78" s="1">
        <v>40976</v>
      </c>
      <c r="P78">
        <v>113.5402069</v>
      </c>
      <c r="Q78" t="str">
        <f t="shared" si="1"/>
        <v>Premium</v>
      </c>
    </row>
    <row r="79" spans="1:17" x14ac:dyDescent="0.3">
      <c r="A79" t="s">
        <v>153</v>
      </c>
      <c r="B79" t="s">
        <v>155</v>
      </c>
      <c r="C79">
        <v>48.911000000000001</v>
      </c>
      <c r="D79">
        <v>21.725000000000001</v>
      </c>
      <c r="E79" t="s">
        <v>18</v>
      </c>
      <c r="F79">
        <v>43.33</v>
      </c>
      <c r="G79">
        <v>4.5999999999999996</v>
      </c>
      <c r="H79">
        <v>215</v>
      </c>
      <c r="I79">
        <v>117.7</v>
      </c>
      <c r="J79">
        <v>78.2</v>
      </c>
      <c r="K79">
        <v>215.3</v>
      </c>
      <c r="L79">
        <v>4.1210000000000004</v>
      </c>
      <c r="M79">
        <v>19</v>
      </c>
      <c r="N79">
        <v>21</v>
      </c>
      <c r="O79" s="1">
        <v>41005</v>
      </c>
      <c r="P79">
        <v>93.957916900000001</v>
      </c>
      <c r="Q79" t="str">
        <f t="shared" si="1"/>
        <v>Luxury</v>
      </c>
    </row>
    <row r="80" spans="1:17" x14ac:dyDescent="0.3">
      <c r="A80" t="s">
        <v>153</v>
      </c>
      <c r="B80" t="s">
        <v>156</v>
      </c>
      <c r="C80">
        <v>22.925000000000001</v>
      </c>
      <c r="E80" t="s">
        <v>50</v>
      </c>
      <c r="F80">
        <v>42.66</v>
      </c>
      <c r="G80">
        <v>5.4</v>
      </c>
      <c r="H80">
        <v>300</v>
      </c>
      <c r="I80">
        <v>119</v>
      </c>
      <c r="J80">
        <v>79.900000000000006</v>
      </c>
      <c r="K80">
        <v>204.8</v>
      </c>
      <c r="L80">
        <v>5.3929999999999998</v>
      </c>
      <c r="M80">
        <v>30</v>
      </c>
      <c r="N80">
        <v>15</v>
      </c>
      <c r="O80" t="s">
        <v>157</v>
      </c>
      <c r="P80">
        <v>123.97204670000001</v>
      </c>
      <c r="Q80" t="str">
        <f t="shared" si="1"/>
        <v>Luxury</v>
      </c>
    </row>
    <row r="81" spans="1:17" x14ac:dyDescent="0.3">
      <c r="A81" t="s">
        <v>158</v>
      </c>
      <c r="B81" t="s">
        <v>159</v>
      </c>
      <c r="C81">
        <v>26.231999999999999</v>
      </c>
      <c r="D81">
        <v>8.3249999999999993</v>
      </c>
      <c r="E81" t="s">
        <v>18</v>
      </c>
      <c r="F81">
        <v>13.987</v>
      </c>
      <c r="G81">
        <v>1.8</v>
      </c>
      <c r="H81">
        <v>113</v>
      </c>
      <c r="I81">
        <v>98.4</v>
      </c>
      <c r="J81">
        <v>66.5</v>
      </c>
      <c r="K81">
        <v>173.6</v>
      </c>
      <c r="L81">
        <v>2.25</v>
      </c>
      <c r="M81">
        <v>13.2</v>
      </c>
      <c r="N81">
        <v>30</v>
      </c>
      <c r="O81" t="s">
        <v>160</v>
      </c>
      <c r="P81">
        <v>45.832180559999998</v>
      </c>
      <c r="Q81" t="str">
        <f t="shared" si="1"/>
        <v>Budget</v>
      </c>
    </row>
    <row r="82" spans="1:17" x14ac:dyDescent="0.3">
      <c r="A82" t="s">
        <v>158</v>
      </c>
      <c r="B82" t="s">
        <v>161</v>
      </c>
      <c r="C82">
        <v>42.540999999999997</v>
      </c>
      <c r="D82">
        <v>10.395</v>
      </c>
      <c r="E82" t="s">
        <v>18</v>
      </c>
      <c r="F82">
        <v>19.047000000000001</v>
      </c>
      <c r="G82">
        <v>2.4</v>
      </c>
      <c r="H82">
        <v>154</v>
      </c>
      <c r="I82">
        <v>100.8</v>
      </c>
      <c r="J82">
        <v>68.900000000000006</v>
      </c>
      <c r="K82">
        <v>175.4</v>
      </c>
      <c r="L82">
        <v>2.91</v>
      </c>
      <c r="M82">
        <v>15.9</v>
      </c>
      <c r="N82">
        <v>24</v>
      </c>
      <c r="O82" t="s">
        <v>162</v>
      </c>
      <c r="P82">
        <v>62.441962349999997</v>
      </c>
      <c r="Q82" t="str">
        <f t="shared" si="1"/>
        <v>Mid-Range</v>
      </c>
    </row>
    <row r="83" spans="1:17" x14ac:dyDescent="0.3">
      <c r="A83" t="s">
        <v>158</v>
      </c>
      <c r="B83" t="s">
        <v>163</v>
      </c>
      <c r="C83">
        <v>55.616</v>
      </c>
      <c r="D83">
        <v>10.595000000000001</v>
      </c>
      <c r="E83" t="s">
        <v>18</v>
      </c>
      <c r="F83">
        <v>17.356999999999999</v>
      </c>
      <c r="G83">
        <v>2.4</v>
      </c>
      <c r="H83">
        <v>145</v>
      </c>
      <c r="I83">
        <v>103.7</v>
      </c>
      <c r="J83">
        <v>68.5</v>
      </c>
      <c r="K83">
        <v>187.8</v>
      </c>
      <c r="L83">
        <v>2.9449999999999998</v>
      </c>
      <c r="M83">
        <v>16.3</v>
      </c>
      <c r="N83">
        <v>25</v>
      </c>
      <c r="O83" t="s">
        <v>31</v>
      </c>
      <c r="P83">
        <v>58.606772919999997</v>
      </c>
      <c r="Q83" t="str">
        <f t="shared" si="1"/>
        <v>Mid-Range</v>
      </c>
    </row>
    <row r="84" spans="1:17" x14ac:dyDescent="0.3">
      <c r="A84" t="s">
        <v>158</v>
      </c>
      <c r="B84" t="s">
        <v>164</v>
      </c>
      <c r="C84">
        <v>5.7110000000000003</v>
      </c>
      <c r="D84">
        <v>16.574999999999999</v>
      </c>
      <c r="E84" t="s">
        <v>18</v>
      </c>
      <c r="F84">
        <v>24.997</v>
      </c>
      <c r="G84">
        <v>3.5</v>
      </c>
      <c r="H84">
        <v>210</v>
      </c>
      <c r="I84">
        <v>107.1</v>
      </c>
      <c r="J84">
        <v>70.3</v>
      </c>
      <c r="K84">
        <v>194.1</v>
      </c>
      <c r="L84">
        <v>3.4430000000000001</v>
      </c>
      <c r="M84">
        <v>19</v>
      </c>
      <c r="N84">
        <v>22</v>
      </c>
      <c r="O84" t="s">
        <v>165</v>
      </c>
      <c r="P84">
        <v>84.83077858</v>
      </c>
      <c r="Q84" t="str">
        <f t="shared" si="1"/>
        <v>Mid-Range</v>
      </c>
    </row>
    <row r="85" spans="1:17" x14ac:dyDescent="0.3">
      <c r="A85" t="s">
        <v>158</v>
      </c>
      <c r="B85" t="s">
        <v>166</v>
      </c>
      <c r="C85">
        <v>0.11</v>
      </c>
      <c r="D85">
        <v>20.94</v>
      </c>
      <c r="E85" t="s">
        <v>18</v>
      </c>
      <c r="F85">
        <v>25.45</v>
      </c>
      <c r="G85">
        <v>3</v>
      </c>
      <c r="H85">
        <v>161</v>
      </c>
      <c r="I85">
        <v>97.2</v>
      </c>
      <c r="J85">
        <v>72.400000000000006</v>
      </c>
      <c r="K85">
        <v>180.3</v>
      </c>
      <c r="L85">
        <v>3.1309999999999998</v>
      </c>
      <c r="M85">
        <v>19.8</v>
      </c>
      <c r="N85">
        <v>21</v>
      </c>
      <c r="O85" t="s">
        <v>167</v>
      </c>
      <c r="P85">
        <v>67.544154939999999</v>
      </c>
      <c r="Q85" t="str">
        <f t="shared" si="1"/>
        <v>Premium</v>
      </c>
    </row>
    <row r="86" spans="1:17" x14ac:dyDescent="0.3">
      <c r="A86" t="s">
        <v>158</v>
      </c>
      <c r="B86" t="s">
        <v>168</v>
      </c>
      <c r="C86">
        <v>11.337</v>
      </c>
      <c r="D86">
        <v>19.125</v>
      </c>
      <c r="E86" t="s">
        <v>50</v>
      </c>
      <c r="F86">
        <v>31.806999999999999</v>
      </c>
      <c r="G86">
        <v>3.5</v>
      </c>
      <c r="H86">
        <v>200</v>
      </c>
      <c r="I86">
        <v>107.3</v>
      </c>
      <c r="J86">
        <v>69.900000000000006</v>
      </c>
      <c r="K86">
        <v>186.6</v>
      </c>
      <c r="L86">
        <v>4.5199999999999996</v>
      </c>
      <c r="M86">
        <v>24.3</v>
      </c>
      <c r="N86">
        <v>18</v>
      </c>
      <c r="O86" t="s">
        <v>169</v>
      </c>
      <c r="P86">
        <v>83.920815039999994</v>
      </c>
      <c r="Q86" t="str">
        <f t="shared" si="1"/>
        <v>Premium</v>
      </c>
    </row>
    <row r="87" spans="1:17" x14ac:dyDescent="0.3">
      <c r="A87" t="s">
        <v>158</v>
      </c>
      <c r="B87" t="s">
        <v>170</v>
      </c>
      <c r="C87">
        <v>39.347999999999999</v>
      </c>
      <c r="D87">
        <v>13.88</v>
      </c>
      <c r="E87" t="s">
        <v>50</v>
      </c>
      <c r="F87">
        <v>22.527000000000001</v>
      </c>
      <c r="G87">
        <v>3</v>
      </c>
      <c r="H87">
        <v>173</v>
      </c>
      <c r="I87">
        <v>107.3</v>
      </c>
      <c r="J87">
        <v>66.7</v>
      </c>
      <c r="K87">
        <v>178.3</v>
      </c>
      <c r="L87">
        <v>3.51</v>
      </c>
      <c r="M87">
        <v>19.5</v>
      </c>
      <c r="N87">
        <v>20</v>
      </c>
      <c r="O87" t="s">
        <v>171</v>
      </c>
      <c r="P87">
        <v>70.660941789999995</v>
      </c>
      <c r="Q87" t="str">
        <f t="shared" si="1"/>
        <v>Mid-Range</v>
      </c>
    </row>
    <row r="88" spans="1:17" x14ac:dyDescent="0.3">
      <c r="A88" t="s">
        <v>172</v>
      </c>
      <c r="B88" t="s">
        <v>173</v>
      </c>
      <c r="C88">
        <v>14.351000000000001</v>
      </c>
      <c r="D88">
        <v>8.8000000000000007</v>
      </c>
      <c r="E88" t="s">
        <v>18</v>
      </c>
      <c r="F88">
        <v>16.239999999999998</v>
      </c>
      <c r="G88">
        <v>2</v>
      </c>
      <c r="H88">
        <v>125</v>
      </c>
      <c r="I88">
        <v>106.5</v>
      </c>
      <c r="J88">
        <v>69.099999999999994</v>
      </c>
      <c r="K88">
        <v>184.8</v>
      </c>
      <c r="L88">
        <v>2.7690000000000001</v>
      </c>
      <c r="M88">
        <v>15</v>
      </c>
      <c r="N88">
        <v>28</v>
      </c>
      <c r="O88" t="s">
        <v>174</v>
      </c>
      <c r="P88">
        <v>50.997747609999998</v>
      </c>
      <c r="Q88" t="str">
        <f t="shared" si="1"/>
        <v>Mid-Range</v>
      </c>
    </row>
    <row r="89" spans="1:17" x14ac:dyDescent="0.3">
      <c r="A89" t="s">
        <v>172</v>
      </c>
      <c r="B89" t="s">
        <v>175</v>
      </c>
      <c r="C89">
        <v>26.529</v>
      </c>
      <c r="D89">
        <v>13.89</v>
      </c>
      <c r="E89" t="s">
        <v>18</v>
      </c>
      <c r="F89">
        <v>16.54</v>
      </c>
      <c r="G89">
        <v>2</v>
      </c>
      <c r="H89">
        <v>125</v>
      </c>
      <c r="I89">
        <v>106.4</v>
      </c>
      <c r="J89">
        <v>69.599999999999994</v>
      </c>
      <c r="K89">
        <v>185</v>
      </c>
      <c r="L89">
        <v>2.8919999999999999</v>
      </c>
      <c r="M89">
        <v>16</v>
      </c>
      <c r="N89">
        <v>30</v>
      </c>
      <c r="O89" t="s">
        <v>42</v>
      </c>
      <c r="P89">
        <v>51.113474259999997</v>
      </c>
      <c r="Q89" t="str">
        <f t="shared" si="1"/>
        <v>Mid-Range</v>
      </c>
    </row>
    <row r="90" spans="1:17" x14ac:dyDescent="0.3">
      <c r="A90" t="s">
        <v>172</v>
      </c>
      <c r="B90" t="s">
        <v>176</v>
      </c>
      <c r="C90">
        <v>67.956000000000003</v>
      </c>
      <c r="D90">
        <v>11.03</v>
      </c>
      <c r="E90" t="s">
        <v>18</v>
      </c>
      <c r="F90">
        <v>19.035</v>
      </c>
      <c r="G90">
        <v>3</v>
      </c>
      <c r="H90">
        <v>153</v>
      </c>
      <c r="I90">
        <v>108.5</v>
      </c>
      <c r="J90">
        <v>73</v>
      </c>
      <c r="K90">
        <v>199.7</v>
      </c>
      <c r="L90">
        <v>3.379</v>
      </c>
      <c r="M90">
        <v>16</v>
      </c>
      <c r="N90">
        <v>24</v>
      </c>
      <c r="O90" t="s">
        <v>177</v>
      </c>
      <c r="P90">
        <v>62.239966629999998</v>
      </c>
      <c r="Q90" t="str">
        <f t="shared" si="1"/>
        <v>Mid-Range</v>
      </c>
    </row>
    <row r="91" spans="1:17" x14ac:dyDescent="0.3">
      <c r="A91" t="s">
        <v>172</v>
      </c>
      <c r="B91" t="s">
        <v>178</v>
      </c>
      <c r="C91">
        <v>81.174000000000007</v>
      </c>
      <c r="D91">
        <v>14.875</v>
      </c>
      <c r="E91" t="s">
        <v>18</v>
      </c>
      <c r="F91">
        <v>22.605</v>
      </c>
      <c r="G91">
        <v>4.5999999999999996</v>
      </c>
      <c r="H91">
        <v>200</v>
      </c>
      <c r="I91">
        <v>114.7</v>
      </c>
      <c r="J91">
        <v>78.2</v>
      </c>
      <c r="K91">
        <v>212</v>
      </c>
      <c r="L91">
        <v>3.9580000000000002</v>
      </c>
      <c r="M91">
        <v>19</v>
      </c>
      <c r="N91">
        <v>21</v>
      </c>
      <c r="O91" t="s">
        <v>179</v>
      </c>
      <c r="P91">
        <v>80.657696459999997</v>
      </c>
      <c r="Q91" t="str">
        <f t="shared" si="1"/>
        <v>Mid-Range</v>
      </c>
    </row>
    <row r="92" spans="1:17" x14ac:dyDescent="0.3">
      <c r="A92" t="s">
        <v>172</v>
      </c>
      <c r="B92" t="s">
        <v>180</v>
      </c>
      <c r="C92">
        <v>27.609000000000002</v>
      </c>
      <c r="D92">
        <v>20.43</v>
      </c>
      <c r="E92" t="s">
        <v>50</v>
      </c>
      <c r="F92">
        <v>27.56</v>
      </c>
      <c r="G92">
        <v>4</v>
      </c>
      <c r="H92">
        <v>210</v>
      </c>
      <c r="I92">
        <v>111.6</v>
      </c>
      <c r="J92">
        <v>70.2</v>
      </c>
      <c r="K92">
        <v>190.1</v>
      </c>
      <c r="L92">
        <v>3.8759999999999999</v>
      </c>
      <c r="M92">
        <v>21</v>
      </c>
      <c r="N92">
        <v>18</v>
      </c>
      <c r="O92" t="s">
        <v>181</v>
      </c>
      <c r="P92">
        <v>85.949744249999995</v>
      </c>
      <c r="Q92" t="str">
        <f t="shared" si="1"/>
        <v>Premium</v>
      </c>
    </row>
    <row r="93" spans="1:17" x14ac:dyDescent="0.3">
      <c r="A93" t="s">
        <v>172</v>
      </c>
      <c r="B93" t="s">
        <v>182</v>
      </c>
      <c r="C93">
        <v>20.38</v>
      </c>
      <c r="D93">
        <v>14.795</v>
      </c>
      <c r="E93" t="s">
        <v>50</v>
      </c>
      <c r="F93">
        <v>22.51</v>
      </c>
      <c r="G93">
        <v>3.3</v>
      </c>
      <c r="H93">
        <v>170</v>
      </c>
      <c r="I93">
        <v>112.2</v>
      </c>
      <c r="J93">
        <v>74.900000000000006</v>
      </c>
      <c r="K93">
        <v>194.7</v>
      </c>
      <c r="L93">
        <v>3.944</v>
      </c>
      <c r="M93">
        <v>20</v>
      </c>
      <c r="N93">
        <v>21</v>
      </c>
      <c r="O93" t="s">
        <v>183</v>
      </c>
      <c r="P93">
        <v>69.671460999999994</v>
      </c>
      <c r="Q93" t="str">
        <f t="shared" si="1"/>
        <v>Mid-Range</v>
      </c>
    </row>
    <row r="94" spans="1:17" x14ac:dyDescent="0.3">
      <c r="A94" t="s">
        <v>184</v>
      </c>
      <c r="B94" t="s">
        <v>185</v>
      </c>
      <c r="C94">
        <v>18.391999999999999</v>
      </c>
      <c r="D94">
        <v>26.05</v>
      </c>
      <c r="E94" t="s">
        <v>18</v>
      </c>
      <c r="F94">
        <v>31.75</v>
      </c>
      <c r="G94">
        <v>2.2999999999999998</v>
      </c>
      <c r="H94">
        <v>185</v>
      </c>
      <c r="I94">
        <v>105.9</v>
      </c>
      <c r="J94">
        <v>67.7</v>
      </c>
      <c r="K94">
        <v>177.4</v>
      </c>
      <c r="L94">
        <v>3.25</v>
      </c>
      <c r="M94">
        <v>16.399999999999999</v>
      </c>
      <c r="N94">
        <v>26</v>
      </c>
      <c r="O94" t="s">
        <v>186</v>
      </c>
      <c r="P94">
        <v>78.280730879999993</v>
      </c>
      <c r="Q94" t="str">
        <f t="shared" si="1"/>
        <v>Premium</v>
      </c>
    </row>
    <row r="95" spans="1:17" x14ac:dyDescent="0.3">
      <c r="A95" t="s">
        <v>184</v>
      </c>
      <c r="B95" t="s">
        <v>187</v>
      </c>
      <c r="C95">
        <v>27.602</v>
      </c>
      <c r="D95">
        <v>41.45</v>
      </c>
      <c r="E95" t="s">
        <v>18</v>
      </c>
      <c r="F95">
        <v>49.9</v>
      </c>
      <c r="G95">
        <v>3.2</v>
      </c>
      <c r="H95">
        <v>221</v>
      </c>
      <c r="I95">
        <v>111.5</v>
      </c>
      <c r="J95">
        <v>70.8</v>
      </c>
      <c r="K95">
        <v>189.4</v>
      </c>
      <c r="L95">
        <v>3.823</v>
      </c>
      <c r="M95">
        <v>21.1</v>
      </c>
      <c r="N95">
        <v>25</v>
      </c>
      <c r="O95" s="1">
        <v>40884</v>
      </c>
      <c r="P95">
        <v>98.249737499999995</v>
      </c>
      <c r="Q95" t="str">
        <f t="shared" si="1"/>
        <v>Luxury</v>
      </c>
    </row>
    <row r="96" spans="1:17" x14ac:dyDescent="0.3">
      <c r="A96" t="s">
        <v>184</v>
      </c>
      <c r="B96" t="s">
        <v>188</v>
      </c>
      <c r="C96">
        <v>16.774000000000001</v>
      </c>
      <c r="D96">
        <v>50.375</v>
      </c>
      <c r="E96" t="s">
        <v>18</v>
      </c>
      <c r="F96">
        <v>69.7</v>
      </c>
      <c r="G96">
        <v>4.3</v>
      </c>
      <c r="H96">
        <v>275</v>
      </c>
      <c r="I96">
        <v>121.5</v>
      </c>
      <c r="J96">
        <v>73.099999999999994</v>
      </c>
      <c r="K96">
        <v>203.1</v>
      </c>
      <c r="L96">
        <v>4.133</v>
      </c>
      <c r="M96">
        <v>23.2</v>
      </c>
      <c r="N96">
        <v>21</v>
      </c>
      <c r="O96" t="s">
        <v>189</v>
      </c>
      <c r="P96">
        <v>125.2738757</v>
      </c>
      <c r="Q96" t="str">
        <f t="shared" si="1"/>
        <v>Luxury</v>
      </c>
    </row>
    <row r="97" spans="1:17" x14ac:dyDescent="0.3">
      <c r="A97" t="s">
        <v>184</v>
      </c>
      <c r="B97" t="s">
        <v>190</v>
      </c>
      <c r="C97">
        <v>3.3109999999999999</v>
      </c>
      <c r="D97">
        <v>58.6</v>
      </c>
      <c r="E97" t="s">
        <v>18</v>
      </c>
      <c r="F97">
        <v>82.6</v>
      </c>
      <c r="G97">
        <v>5</v>
      </c>
      <c r="H97">
        <v>302</v>
      </c>
      <c r="I97">
        <v>99</v>
      </c>
      <c r="J97">
        <v>71.3</v>
      </c>
      <c r="K97">
        <v>177.1</v>
      </c>
      <c r="L97">
        <v>4.125</v>
      </c>
      <c r="M97">
        <v>21.1</v>
      </c>
      <c r="N97">
        <v>20</v>
      </c>
      <c r="O97" t="s">
        <v>191</v>
      </c>
      <c r="P97">
        <v>139.98229359999999</v>
      </c>
      <c r="Q97" t="str">
        <f t="shared" si="1"/>
        <v>Luxury</v>
      </c>
    </row>
    <row r="98" spans="1:17" x14ac:dyDescent="0.3">
      <c r="A98" t="s">
        <v>184</v>
      </c>
      <c r="B98" t="s">
        <v>192</v>
      </c>
      <c r="C98">
        <v>7.9980000000000002</v>
      </c>
      <c r="E98" t="s">
        <v>18</v>
      </c>
      <c r="F98">
        <v>38.9</v>
      </c>
      <c r="G98">
        <v>2.2999999999999998</v>
      </c>
      <c r="H98">
        <v>190</v>
      </c>
      <c r="I98">
        <v>94.5</v>
      </c>
      <c r="J98">
        <v>67.5</v>
      </c>
      <c r="K98">
        <v>157.9</v>
      </c>
      <c r="L98">
        <v>3.0550000000000002</v>
      </c>
      <c r="M98">
        <v>15.9</v>
      </c>
      <c r="N98">
        <v>26</v>
      </c>
      <c r="O98" t="s">
        <v>193</v>
      </c>
      <c r="P98">
        <v>82.807361929999999</v>
      </c>
      <c r="Q98" t="str">
        <f t="shared" si="1"/>
        <v>Premium</v>
      </c>
    </row>
    <row r="99" spans="1:17" x14ac:dyDescent="0.3">
      <c r="A99" t="s">
        <v>184</v>
      </c>
      <c r="B99" t="s">
        <v>194</v>
      </c>
      <c r="C99">
        <v>1.526</v>
      </c>
      <c r="E99" t="s">
        <v>18</v>
      </c>
      <c r="F99">
        <v>41</v>
      </c>
      <c r="G99">
        <v>2.2999999999999998</v>
      </c>
      <c r="H99">
        <v>185</v>
      </c>
      <c r="I99">
        <v>94.5</v>
      </c>
      <c r="J99">
        <v>67.5</v>
      </c>
      <c r="K99">
        <v>157.30000000000001</v>
      </c>
      <c r="L99">
        <v>2.9750000000000001</v>
      </c>
      <c r="M99">
        <v>14</v>
      </c>
      <c r="N99">
        <v>27</v>
      </c>
      <c r="O99" s="1">
        <v>40702</v>
      </c>
      <c r="P99">
        <v>81.848969240000002</v>
      </c>
      <c r="Q99" t="str">
        <f t="shared" si="1"/>
        <v>Luxury</v>
      </c>
    </row>
    <row r="100" spans="1:17" x14ac:dyDescent="0.3">
      <c r="A100" t="s">
        <v>184</v>
      </c>
      <c r="B100" t="s">
        <v>195</v>
      </c>
      <c r="C100">
        <v>11.592000000000001</v>
      </c>
      <c r="E100" t="s">
        <v>18</v>
      </c>
      <c r="F100">
        <v>41.6</v>
      </c>
      <c r="G100">
        <v>3.2</v>
      </c>
      <c r="H100">
        <v>215</v>
      </c>
      <c r="I100">
        <v>105.9</v>
      </c>
      <c r="J100">
        <v>67.8</v>
      </c>
      <c r="K100">
        <v>180.3</v>
      </c>
      <c r="L100">
        <v>3.2130000000000001</v>
      </c>
      <c r="M100">
        <v>16.399999999999999</v>
      </c>
      <c r="N100">
        <v>26</v>
      </c>
      <c r="O100" s="1">
        <v>40762</v>
      </c>
      <c r="P100">
        <v>92.925791770000004</v>
      </c>
      <c r="Q100" t="str">
        <f t="shared" si="1"/>
        <v>Luxury</v>
      </c>
    </row>
    <row r="101" spans="1:17" x14ac:dyDescent="0.3">
      <c r="A101" t="s">
        <v>184</v>
      </c>
      <c r="B101" t="s">
        <v>196</v>
      </c>
      <c r="C101">
        <v>0.95399999999999996</v>
      </c>
      <c r="E101" t="s">
        <v>18</v>
      </c>
      <c r="F101">
        <v>85.5</v>
      </c>
      <c r="G101">
        <v>5</v>
      </c>
      <c r="H101">
        <v>302</v>
      </c>
      <c r="I101">
        <v>113.6</v>
      </c>
      <c r="J101">
        <v>73.099999999999994</v>
      </c>
      <c r="K101">
        <v>196.6</v>
      </c>
      <c r="L101">
        <v>4.1150000000000002</v>
      </c>
      <c r="M101">
        <v>23.2</v>
      </c>
      <c r="N101">
        <v>20</v>
      </c>
      <c r="O101" s="1">
        <v>40851</v>
      </c>
      <c r="P101">
        <v>141.10098450000001</v>
      </c>
      <c r="Q101" t="str">
        <f t="shared" si="1"/>
        <v>Luxury</v>
      </c>
    </row>
    <row r="102" spans="1:17" x14ac:dyDescent="0.3">
      <c r="A102" t="s">
        <v>184</v>
      </c>
      <c r="B102" t="s">
        <v>197</v>
      </c>
      <c r="C102">
        <v>28.975999999999999</v>
      </c>
      <c r="E102" t="s">
        <v>50</v>
      </c>
      <c r="F102">
        <v>35.299999999999997</v>
      </c>
      <c r="G102">
        <v>3.2</v>
      </c>
      <c r="H102">
        <v>215</v>
      </c>
      <c r="I102">
        <v>111</v>
      </c>
      <c r="J102">
        <v>72.2</v>
      </c>
      <c r="K102">
        <v>180.6</v>
      </c>
      <c r="L102">
        <v>4.3869999999999996</v>
      </c>
      <c r="M102">
        <v>19</v>
      </c>
      <c r="N102">
        <v>20</v>
      </c>
      <c r="O102" s="1">
        <v>40818</v>
      </c>
      <c r="P102">
        <v>90.495532130000001</v>
      </c>
      <c r="Q102" t="str">
        <f t="shared" si="1"/>
        <v>Premium</v>
      </c>
    </row>
    <row r="103" spans="1:17" x14ac:dyDescent="0.3">
      <c r="A103" t="s">
        <v>198</v>
      </c>
      <c r="B103" t="s">
        <v>199</v>
      </c>
      <c r="C103">
        <v>42.643000000000001</v>
      </c>
      <c r="D103">
        <v>8.4499999999999993</v>
      </c>
      <c r="E103" t="s">
        <v>18</v>
      </c>
      <c r="F103">
        <v>13.499000000000001</v>
      </c>
      <c r="G103">
        <v>1.8</v>
      </c>
      <c r="H103">
        <v>126</v>
      </c>
      <c r="I103">
        <v>99.8</v>
      </c>
      <c r="J103">
        <v>67.3</v>
      </c>
      <c r="K103">
        <v>177.5</v>
      </c>
      <c r="L103">
        <v>2.593</v>
      </c>
      <c r="M103">
        <v>13.2</v>
      </c>
      <c r="N103">
        <v>30</v>
      </c>
      <c r="O103" t="s">
        <v>200</v>
      </c>
      <c r="P103">
        <v>50.241977910000003</v>
      </c>
      <c r="Q103" t="str">
        <f t="shared" si="1"/>
        <v>Budget</v>
      </c>
    </row>
    <row r="104" spans="1:17" x14ac:dyDescent="0.3">
      <c r="A104" t="s">
        <v>198</v>
      </c>
      <c r="B104" t="s">
        <v>201</v>
      </c>
      <c r="C104">
        <v>88.093999999999994</v>
      </c>
      <c r="D104">
        <v>11.295</v>
      </c>
      <c r="E104" t="s">
        <v>18</v>
      </c>
      <c r="F104">
        <v>20.39</v>
      </c>
      <c r="G104">
        <v>2.4</v>
      </c>
      <c r="H104">
        <v>155</v>
      </c>
      <c r="I104">
        <v>103.1</v>
      </c>
      <c r="J104">
        <v>69.099999999999994</v>
      </c>
      <c r="K104">
        <v>183.5</v>
      </c>
      <c r="L104">
        <v>3.012</v>
      </c>
      <c r="M104">
        <v>15.9</v>
      </c>
      <c r="N104">
        <v>25</v>
      </c>
      <c r="O104" s="1">
        <v>40582</v>
      </c>
      <c r="P104">
        <v>63.313727829999998</v>
      </c>
      <c r="Q104" t="str">
        <f t="shared" si="1"/>
        <v>Mid-Range</v>
      </c>
    </row>
    <row r="105" spans="1:17" x14ac:dyDescent="0.3">
      <c r="A105" t="s">
        <v>198</v>
      </c>
      <c r="B105" t="s">
        <v>202</v>
      </c>
      <c r="C105">
        <v>79.852999999999994</v>
      </c>
      <c r="D105">
        <v>15.125</v>
      </c>
      <c r="E105" t="s">
        <v>18</v>
      </c>
      <c r="F105">
        <v>26.248999999999999</v>
      </c>
      <c r="G105">
        <v>3</v>
      </c>
      <c r="H105">
        <v>222</v>
      </c>
      <c r="I105">
        <v>108.3</v>
      </c>
      <c r="J105">
        <v>70.3</v>
      </c>
      <c r="K105">
        <v>190.5</v>
      </c>
      <c r="L105">
        <v>3.294</v>
      </c>
      <c r="M105">
        <v>18.5</v>
      </c>
      <c r="N105">
        <v>25</v>
      </c>
      <c r="O105" s="1">
        <v>40699</v>
      </c>
      <c r="P105">
        <v>89.427820310000001</v>
      </c>
      <c r="Q105" t="str">
        <f t="shared" si="1"/>
        <v>Premium</v>
      </c>
    </row>
    <row r="106" spans="1:17" x14ac:dyDescent="0.3">
      <c r="A106" t="s">
        <v>198</v>
      </c>
      <c r="B106" t="s">
        <v>203</v>
      </c>
      <c r="C106">
        <v>27.308</v>
      </c>
      <c r="D106">
        <v>15.38</v>
      </c>
      <c r="E106" t="s">
        <v>50</v>
      </c>
      <c r="F106">
        <v>26.399000000000001</v>
      </c>
      <c r="G106">
        <v>3.3</v>
      </c>
      <c r="H106">
        <v>170</v>
      </c>
      <c r="I106">
        <v>112.2</v>
      </c>
      <c r="J106">
        <v>74.900000000000006</v>
      </c>
      <c r="K106">
        <v>194.8</v>
      </c>
      <c r="L106">
        <v>3.9910000000000001</v>
      </c>
      <c r="M106">
        <v>20</v>
      </c>
      <c r="N106">
        <v>21</v>
      </c>
      <c r="O106" s="1">
        <v>40727</v>
      </c>
      <c r="P106">
        <v>71.171664129999996</v>
      </c>
      <c r="Q106" t="str">
        <f t="shared" si="1"/>
        <v>Premium</v>
      </c>
    </row>
    <row r="107" spans="1:17" x14ac:dyDescent="0.3">
      <c r="A107" t="s">
        <v>198</v>
      </c>
      <c r="B107" t="s">
        <v>204</v>
      </c>
      <c r="C107">
        <v>42.573999999999998</v>
      </c>
      <c r="D107">
        <v>17.809999999999999</v>
      </c>
      <c r="E107" t="s">
        <v>50</v>
      </c>
      <c r="F107">
        <v>29.298999999999999</v>
      </c>
      <c r="G107">
        <v>3.3</v>
      </c>
      <c r="H107">
        <v>170</v>
      </c>
      <c r="I107">
        <v>106.3</v>
      </c>
      <c r="J107">
        <v>71.7</v>
      </c>
      <c r="K107">
        <v>182.6</v>
      </c>
      <c r="L107">
        <v>3.9470000000000001</v>
      </c>
      <c r="M107">
        <v>21</v>
      </c>
      <c r="N107">
        <v>19</v>
      </c>
      <c r="O107" t="s">
        <v>205</v>
      </c>
      <c r="P107">
        <v>72.290355079999998</v>
      </c>
      <c r="Q107" t="str">
        <f t="shared" si="1"/>
        <v>Premium</v>
      </c>
    </row>
    <row r="108" spans="1:17" x14ac:dyDescent="0.3">
      <c r="A108" t="s">
        <v>198</v>
      </c>
      <c r="B108" t="s">
        <v>206</v>
      </c>
      <c r="C108">
        <v>54.158000000000001</v>
      </c>
      <c r="E108" t="s">
        <v>50</v>
      </c>
      <c r="F108">
        <v>22.798999999999999</v>
      </c>
      <c r="G108">
        <v>3.3</v>
      </c>
      <c r="H108">
        <v>170</v>
      </c>
      <c r="I108">
        <v>104.3</v>
      </c>
      <c r="J108">
        <v>70.400000000000006</v>
      </c>
      <c r="K108">
        <v>178</v>
      </c>
      <c r="L108">
        <v>3.8210000000000002</v>
      </c>
      <c r="M108">
        <v>19.399999999999999</v>
      </c>
      <c r="N108">
        <v>18</v>
      </c>
      <c r="O108" t="s">
        <v>207</v>
      </c>
      <c r="P108">
        <v>69.78294434</v>
      </c>
      <c r="Q108" t="str">
        <f t="shared" si="1"/>
        <v>Mid-Range</v>
      </c>
    </row>
    <row r="109" spans="1:17" x14ac:dyDescent="0.3">
      <c r="A109" t="s">
        <v>198</v>
      </c>
      <c r="B109" t="s">
        <v>208</v>
      </c>
      <c r="C109">
        <v>65.004999999999995</v>
      </c>
      <c r="E109" t="s">
        <v>50</v>
      </c>
      <c r="F109">
        <v>17.89</v>
      </c>
      <c r="G109">
        <v>3.3</v>
      </c>
      <c r="H109">
        <v>170</v>
      </c>
      <c r="I109">
        <v>116.1</v>
      </c>
      <c r="J109">
        <v>66.5</v>
      </c>
      <c r="K109">
        <v>196.1</v>
      </c>
      <c r="L109">
        <v>3.2170000000000001</v>
      </c>
      <c r="M109">
        <v>19.399999999999999</v>
      </c>
      <c r="N109">
        <v>18</v>
      </c>
      <c r="O109" t="s">
        <v>209</v>
      </c>
      <c r="P109">
        <v>67.889270589999995</v>
      </c>
      <c r="Q109" t="str">
        <f t="shared" si="1"/>
        <v>Mid-Range</v>
      </c>
    </row>
    <row r="110" spans="1:17" x14ac:dyDescent="0.3">
      <c r="A110" t="s">
        <v>210</v>
      </c>
      <c r="B110" t="s">
        <v>211</v>
      </c>
      <c r="C110">
        <v>1.1120000000000001</v>
      </c>
      <c r="D110">
        <v>11.24</v>
      </c>
      <c r="E110" t="s">
        <v>18</v>
      </c>
      <c r="F110">
        <v>18.145</v>
      </c>
      <c r="G110">
        <v>3.1</v>
      </c>
      <c r="H110">
        <v>150</v>
      </c>
      <c r="I110">
        <v>107</v>
      </c>
      <c r="J110">
        <v>69.400000000000006</v>
      </c>
      <c r="K110">
        <v>192</v>
      </c>
      <c r="L110">
        <v>3.1019999999999999</v>
      </c>
      <c r="M110">
        <v>15.2</v>
      </c>
      <c r="N110">
        <v>25</v>
      </c>
      <c r="O110" t="s">
        <v>212</v>
      </c>
      <c r="P110">
        <v>60.861611549999999</v>
      </c>
      <c r="Q110" t="str">
        <f t="shared" si="1"/>
        <v>Mid-Range</v>
      </c>
    </row>
    <row r="111" spans="1:17" x14ac:dyDescent="0.3">
      <c r="A111" t="s">
        <v>210</v>
      </c>
      <c r="B111" t="s">
        <v>213</v>
      </c>
      <c r="C111">
        <v>38.554000000000002</v>
      </c>
      <c r="E111" t="s">
        <v>18</v>
      </c>
      <c r="F111">
        <v>24.15</v>
      </c>
      <c r="G111">
        <v>3.5</v>
      </c>
      <c r="H111">
        <v>215</v>
      </c>
      <c r="I111">
        <v>109</v>
      </c>
      <c r="J111">
        <v>73.599999999999994</v>
      </c>
      <c r="K111">
        <v>195.9</v>
      </c>
      <c r="L111">
        <v>3.4550000000000001</v>
      </c>
      <c r="M111">
        <v>18</v>
      </c>
      <c r="O111" s="1">
        <v>40547</v>
      </c>
      <c r="P111">
        <v>86.272522910000006</v>
      </c>
      <c r="Q111" t="str">
        <f t="shared" si="1"/>
        <v>Mid-Range</v>
      </c>
    </row>
    <row r="112" spans="1:17" x14ac:dyDescent="0.3">
      <c r="A112" t="s">
        <v>210</v>
      </c>
      <c r="B112" t="s">
        <v>214</v>
      </c>
      <c r="C112">
        <v>80.254999999999995</v>
      </c>
      <c r="E112" t="s">
        <v>18</v>
      </c>
      <c r="F112">
        <v>18.27</v>
      </c>
      <c r="G112">
        <v>2.4</v>
      </c>
      <c r="H112">
        <v>150</v>
      </c>
      <c r="I112">
        <v>107</v>
      </c>
      <c r="J112">
        <v>70.099999999999994</v>
      </c>
      <c r="K112">
        <v>186.7</v>
      </c>
      <c r="L112">
        <v>2.9580000000000002</v>
      </c>
      <c r="M112">
        <v>15</v>
      </c>
      <c r="N112">
        <v>27</v>
      </c>
      <c r="O112" t="s">
        <v>183</v>
      </c>
      <c r="P112">
        <v>60.727446929999999</v>
      </c>
      <c r="Q112" t="str">
        <f t="shared" si="1"/>
        <v>Mid-Range</v>
      </c>
    </row>
    <row r="113" spans="1:17" x14ac:dyDescent="0.3">
      <c r="A113" t="s">
        <v>210</v>
      </c>
      <c r="B113" t="s">
        <v>215</v>
      </c>
      <c r="C113">
        <v>14.69</v>
      </c>
      <c r="D113">
        <v>19.89</v>
      </c>
      <c r="E113" t="s">
        <v>18</v>
      </c>
      <c r="F113">
        <v>36.228999999999999</v>
      </c>
      <c r="G113">
        <v>4</v>
      </c>
      <c r="H113">
        <v>250</v>
      </c>
      <c r="I113">
        <v>113.8</v>
      </c>
      <c r="J113">
        <v>74.400000000000006</v>
      </c>
      <c r="K113">
        <v>205.4</v>
      </c>
      <c r="L113">
        <v>3.9670000000000001</v>
      </c>
      <c r="M113">
        <v>18.5</v>
      </c>
      <c r="N113">
        <v>22</v>
      </c>
      <c r="O113" t="s">
        <v>216</v>
      </c>
      <c r="P113">
        <v>103.4416926</v>
      </c>
      <c r="Q113" t="str">
        <f t="shared" si="1"/>
        <v>Premium</v>
      </c>
    </row>
    <row r="114" spans="1:17" x14ac:dyDescent="0.3">
      <c r="A114" t="s">
        <v>210</v>
      </c>
      <c r="B114" t="s">
        <v>217</v>
      </c>
      <c r="C114">
        <v>20.016999999999999</v>
      </c>
      <c r="D114">
        <v>19.925000000000001</v>
      </c>
      <c r="E114" t="s">
        <v>50</v>
      </c>
      <c r="F114">
        <v>31.597999999999999</v>
      </c>
      <c r="G114">
        <v>4.3</v>
      </c>
      <c r="H114">
        <v>190</v>
      </c>
      <c r="I114">
        <v>107</v>
      </c>
      <c r="J114">
        <v>67.8</v>
      </c>
      <c r="K114">
        <v>181.2</v>
      </c>
      <c r="L114">
        <v>4.0679999999999996</v>
      </c>
      <c r="M114">
        <v>17.5</v>
      </c>
      <c r="N114">
        <v>19</v>
      </c>
      <c r="O114" t="s">
        <v>218</v>
      </c>
      <c r="P114">
        <v>80.511672590000003</v>
      </c>
      <c r="Q114" t="str">
        <f t="shared" si="1"/>
        <v>Premium</v>
      </c>
    </row>
    <row r="115" spans="1:17" x14ac:dyDescent="0.3">
      <c r="A115" t="s">
        <v>210</v>
      </c>
      <c r="B115" t="s">
        <v>219</v>
      </c>
      <c r="C115">
        <v>24.361000000000001</v>
      </c>
      <c r="D115">
        <v>15.24</v>
      </c>
      <c r="E115" t="s">
        <v>50</v>
      </c>
      <c r="F115">
        <v>25.344999999999999</v>
      </c>
      <c r="G115">
        <v>3.4</v>
      </c>
      <c r="H115">
        <v>185</v>
      </c>
      <c r="I115">
        <v>120</v>
      </c>
      <c r="J115">
        <v>72.2</v>
      </c>
      <c r="K115">
        <v>201.4</v>
      </c>
      <c r="L115">
        <v>3.948</v>
      </c>
      <c r="M115">
        <v>25</v>
      </c>
      <c r="N115">
        <v>22</v>
      </c>
      <c r="O115" t="s">
        <v>220</v>
      </c>
      <c r="P115">
        <v>76.096570420000006</v>
      </c>
      <c r="Q115" t="str">
        <f t="shared" si="1"/>
        <v>Premium</v>
      </c>
    </row>
    <row r="116" spans="1:17" x14ac:dyDescent="0.3">
      <c r="A116" t="s">
        <v>221</v>
      </c>
      <c r="B116" t="s">
        <v>81</v>
      </c>
      <c r="C116">
        <v>32.734000000000002</v>
      </c>
      <c r="D116">
        <v>7.75</v>
      </c>
      <c r="E116" t="s">
        <v>18</v>
      </c>
      <c r="F116">
        <v>12.64</v>
      </c>
      <c r="G116">
        <v>2</v>
      </c>
      <c r="H116">
        <v>132</v>
      </c>
      <c r="I116">
        <v>105</v>
      </c>
      <c r="J116">
        <v>74.400000000000006</v>
      </c>
      <c r="K116">
        <v>174.4</v>
      </c>
      <c r="L116">
        <v>2.5590000000000002</v>
      </c>
      <c r="M116">
        <v>12.5</v>
      </c>
      <c r="N116">
        <v>29</v>
      </c>
      <c r="O116" t="s">
        <v>222</v>
      </c>
      <c r="P116">
        <v>52.084898750000001</v>
      </c>
      <c r="Q116" t="str">
        <f t="shared" si="1"/>
        <v>Budget</v>
      </c>
    </row>
    <row r="117" spans="1:17" x14ac:dyDescent="0.3">
      <c r="A117" t="s">
        <v>221</v>
      </c>
      <c r="B117" t="s">
        <v>223</v>
      </c>
      <c r="C117">
        <v>5.24</v>
      </c>
      <c r="D117">
        <v>9.8000000000000007</v>
      </c>
      <c r="E117" t="s">
        <v>18</v>
      </c>
      <c r="F117">
        <v>16.079999999999998</v>
      </c>
      <c r="G117">
        <v>2</v>
      </c>
      <c r="H117">
        <v>132</v>
      </c>
      <c r="I117">
        <v>108</v>
      </c>
      <c r="J117">
        <v>71</v>
      </c>
      <c r="K117">
        <v>186.3</v>
      </c>
      <c r="L117">
        <v>2.9420000000000002</v>
      </c>
      <c r="M117">
        <v>16</v>
      </c>
      <c r="N117">
        <v>27</v>
      </c>
      <c r="O117" t="s">
        <v>224</v>
      </c>
      <c r="P117">
        <v>53.411897670000002</v>
      </c>
      <c r="Q117" t="str">
        <f t="shared" si="1"/>
        <v>Mid-Range</v>
      </c>
    </row>
    <row r="118" spans="1:17" x14ac:dyDescent="0.3">
      <c r="A118" t="s">
        <v>221</v>
      </c>
      <c r="B118" t="s">
        <v>225</v>
      </c>
      <c r="C118">
        <v>24.155000000000001</v>
      </c>
      <c r="D118">
        <v>12.025</v>
      </c>
      <c r="E118" t="s">
        <v>50</v>
      </c>
      <c r="F118">
        <v>18.850000000000001</v>
      </c>
      <c r="G118">
        <v>2.4</v>
      </c>
      <c r="H118">
        <v>150</v>
      </c>
      <c r="I118">
        <v>113.3</v>
      </c>
      <c r="J118">
        <v>76.8</v>
      </c>
      <c r="K118">
        <v>186.3</v>
      </c>
      <c r="L118">
        <v>3.528</v>
      </c>
      <c r="M118">
        <v>20</v>
      </c>
      <c r="N118">
        <v>24</v>
      </c>
      <c r="O118" t="s">
        <v>186</v>
      </c>
      <c r="P118">
        <v>60.951185119999998</v>
      </c>
      <c r="Q118" t="str">
        <f t="shared" si="1"/>
        <v>Mid-Range</v>
      </c>
    </row>
    <row r="119" spans="1:17" x14ac:dyDescent="0.3">
      <c r="A119" t="s">
        <v>221</v>
      </c>
      <c r="B119" t="s">
        <v>226</v>
      </c>
      <c r="C119">
        <v>1.8720000000000001</v>
      </c>
      <c r="E119" t="s">
        <v>18</v>
      </c>
      <c r="F119">
        <v>43</v>
      </c>
      <c r="G119">
        <v>3.5</v>
      </c>
      <c r="H119">
        <v>253</v>
      </c>
      <c r="I119">
        <v>113.3</v>
      </c>
      <c r="J119">
        <v>76.3</v>
      </c>
      <c r="K119">
        <v>165.4</v>
      </c>
      <c r="L119">
        <v>2.85</v>
      </c>
      <c r="M119">
        <v>12</v>
      </c>
      <c r="N119">
        <v>21</v>
      </c>
      <c r="O119" t="s">
        <v>94</v>
      </c>
      <c r="P119">
        <v>106.98445630000001</v>
      </c>
      <c r="Q119" t="str">
        <f t="shared" si="1"/>
        <v>Luxury</v>
      </c>
    </row>
    <row r="120" spans="1:17" x14ac:dyDescent="0.3">
      <c r="A120" t="s">
        <v>227</v>
      </c>
      <c r="B120" t="s">
        <v>228</v>
      </c>
      <c r="C120">
        <v>51.645000000000003</v>
      </c>
      <c r="D120">
        <v>13.79</v>
      </c>
      <c r="E120" t="s">
        <v>18</v>
      </c>
      <c r="F120">
        <v>21.61</v>
      </c>
      <c r="G120">
        <v>2.4</v>
      </c>
      <c r="H120">
        <v>150</v>
      </c>
      <c r="I120">
        <v>104.1</v>
      </c>
      <c r="J120">
        <v>68.400000000000006</v>
      </c>
      <c r="K120">
        <v>181.9</v>
      </c>
      <c r="L120">
        <v>2.9060000000000001</v>
      </c>
      <c r="M120">
        <v>15</v>
      </c>
      <c r="N120">
        <v>27</v>
      </c>
      <c r="O120" t="s">
        <v>229</v>
      </c>
      <c r="P120">
        <v>62.015870300000003</v>
      </c>
      <c r="Q120" t="str">
        <f t="shared" si="1"/>
        <v>Mid-Range</v>
      </c>
    </row>
    <row r="121" spans="1:17" x14ac:dyDescent="0.3">
      <c r="A121" t="s">
        <v>227</v>
      </c>
      <c r="B121" t="s">
        <v>230</v>
      </c>
      <c r="C121">
        <v>131.09700000000001</v>
      </c>
      <c r="D121">
        <v>10.29</v>
      </c>
      <c r="E121" t="s">
        <v>18</v>
      </c>
      <c r="F121">
        <v>19.72</v>
      </c>
      <c r="G121">
        <v>3.4</v>
      </c>
      <c r="H121">
        <v>175</v>
      </c>
      <c r="I121">
        <v>107</v>
      </c>
      <c r="J121">
        <v>70.400000000000006</v>
      </c>
      <c r="K121">
        <v>186.3</v>
      </c>
      <c r="L121">
        <v>3.0910000000000002</v>
      </c>
      <c r="M121">
        <v>15.2</v>
      </c>
      <c r="N121">
        <v>25</v>
      </c>
      <c r="O121" t="s">
        <v>231</v>
      </c>
      <c r="P121">
        <v>70.389737260000004</v>
      </c>
      <c r="Q121" t="str">
        <f t="shared" si="1"/>
        <v>Mid-Range</v>
      </c>
    </row>
    <row r="122" spans="1:17" x14ac:dyDescent="0.3">
      <c r="A122" t="s">
        <v>227</v>
      </c>
      <c r="B122" t="s">
        <v>232</v>
      </c>
      <c r="C122">
        <v>19.911000000000001</v>
      </c>
      <c r="D122">
        <v>17.805</v>
      </c>
      <c r="E122" t="s">
        <v>18</v>
      </c>
      <c r="F122">
        <v>25.31</v>
      </c>
      <c r="G122">
        <v>3.8</v>
      </c>
      <c r="H122">
        <v>200</v>
      </c>
      <c r="I122">
        <v>101.1</v>
      </c>
      <c r="J122">
        <v>74.5</v>
      </c>
      <c r="K122">
        <v>193.4</v>
      </c>
      <c r="L122">
        <v>3.492</v>
      </c>
      <c r="M122">
        <v>16.8</v>
      </c>
      <c r="N122">
        <v>25</v>
      </c>
      <c r="O122" t="s">
        <v>233</v>
      </c>
      <c r="P122">
        <v>81.492726160000004</v>
      </c>
      <c r="Q122" t="str">
        <f t="shared" si="1"/>
        <v>Premium</v>
      </c>
    </row>
    <row r="123" spans="1:17" x14ac:dyDescent="0.3">
      <c r="A123" t="s">
        <v>227</v>
      </c>
      <c r="B123" t="s">
        <v>234</v>
      </c>
      <c r="C123">
        <v>92.364000000000004</v>
      </c>
      <c r="D123">
        <v>14.01</v>
      </c>
      <c r="E123" t="s">
        <v>18</v>
      </c>
      <c r="F123">
        <v>21.664999999999999</v>
      </c>
      <c r="G123">
        <v>3.8</v>
      </c>
      <c r="H123">
        <v>195</v>
      </c>
      <c r="I123">
        <v>110.5</v>
      </c>
      <c r="J123">
        <v>72.7</v>
      </c>
      <c r="K123">
        <v>196.5</v>
      </c>
      <c r="L123">
        <v>3.3959999999999999</v>
      </c>
      <c r="M123">
        <v>18</v>
      </c>
      <c r="N123">
        <v>25</v>
      </c>
      <c r="O123" t="s">
        <v>235</v>
      </c>
      <c r="P123">
        <v>78.318168130000004</v>
      </c>
      <c r="Q123" t="str">
        <f t="shared" si="1"/>
        <v>Mid-Range</v>
      </c>
    </row>
    <row r="124" spans="1:17" x14ac:dyDescent="0.3">
      <c r="A124" t="s">
        <v>227</v>
      </c>
      <c r="B124" t="s">
        <v>236</v>
      </c>
      <c r="C124">
        <v>35.945</v>
      </c>
      <c r="D124">
        <v>13.225</v>
      </c>
      <c r="E124" t="s">
        <v>18</v>
      </c>
      <c r="F124">
        <v>23.754999999999999</v>
      </c>
      <c r="G124">
        <v>3.8</v>
      </c>
      <c r="H124">
        <v>205</v>
      </c>
      <c r="I124">
        <v>112.2</v>
      </c>
      <c r="J124">
        <v>72.599999999999994</v>
      </c>
      <c r="K124">
        <v>202.5</v>
      </c>
      <c r="L124">
        <v>3.59</v>
      </c>
      <c r="M124">
        <v>17.5</v>
      </c>
      <c r="N124">
        <v>24</v>
      </c>
      <c r="O124" t="s">
        <v>237</v>
      </c>
      <c r="P124">
        <v>82.661355599999993</v>
      </c>
      <c r="Q124" t="str">
        <f t="shared" si="1"/>
        <v>Mid-Range</v>
      </c>
    </row>
    <row r="125" spans="1:17" x14ac:dyDescent="0.3">
      <c r="A125" t="s">
        <v>227</v>
      </c>
      <c r="B125" t="s">
        <v>238</v>
      </c>
      <c r="C125">
        <v>39.572000000000003</v>
      </c>
      <c r="E125" t="s">
        <v>50</v>
      </c>
      <c r="F125">
        <v>25.635000000000002</v>
      </c>
      <c r="G125">
        <v>3.4</v>
      </c>
      <c r="H125">
        <v>185</v>
      </c>
      <c r="I125">
        <v>120</v>
      </c>
      <c r="J125">
        <v>72.7</v>
      </c>
      <c r="K125">
        <v>201.3</v>
      </c>
      <c r="L125">
        <v>3.9420000000000002</v>
      </c>
      <c r="M125">
        <v>25</v>
      </c>
      <c r="N125">
        <v>23</v>
      </c>
      <c r="O125" t="s">
        <v>106</v>
      </c>
      <c r="P125">
        <v>76.208439519999999</v>
      </c>
      <c r="Q125" t="str">
        <f t="shared" si="1"/>
        <v>Premium</v>
      </c>
    </row>
    <row r="126" spans="1:17" x14ac:dyDescent="0.3">
      <c r="A126" t="s">
        <v>239</v>
      </c>
      <c r="B126" t="s">
        <v>240</v>
      </c>
      <c r="C126">
        <v>8.9819999999999993</v>
      </c>
      <c r="D126">
        <v>41.25</v>
      </c>
      <c r="E126" t="s">
        <v>18</v>
      </c>
      <c r="F126">
        <v>41.43</v>
      </c>
      <c r="G126">
        <v>2.7</v>
      </c>
      <c r="H126">
        <v>217</v>
      </c>
      <c r="I126">
        <v>95.2</v>
      </c>
      <c r="J126">
        <v>70.099999999999994</v>
      </c>
      <c r="K126">
        <v>171</v>
      </c>
      <c r="L126">
        <v>2.778</v>
      </c>
      <c r="M126">
        <v>17</v>
      </c>
      <c r="N126">
        <v>22</v>
      </c>
      <c r="O126" t="s">
        <v>241</v>
      </c>
      <c r="P126">
        <v>93.437330700000004</v>
      </c>
      <c r="Q126" t="str">
        <f t="shared" si="1"/>
        <v>Luxury</v>
      </c>
    </row>
    <row r="127" spans="1:17" x14ac:dyDescent="0.3">
      <c r="A127" t="s">
        <v>239</v>
      </c>
      <c r="B127" t="s">
        <v>242</v>
      </c>
      <c r="C127">
        <v>1.28</v>
      </c>
      <c r="D127">
        <v>60.625</v>
      </c>
      <c r="E127" t="s">
        <v>18</v>
      </c>
      <c r="F127">
        <v>71.02</v>
      </c>
      <c r="G127">
        <v>3.4</v>
      </c>
      <c r="H127">
        <v>300</v>
      </c>
      <c r="I127">
        <v>92.6</v>
      </c>
      <c r="J127">
        <v>69.5</v>
      </c>
      <c r="K127">
        <v>174.5</v>
      </c>
      <c r="L127">
        <v>3.032</v>
      </c>
      <c r="M127">
        <v>17</v>
      </c>
      <c r="N127">
        <v>21</v>
      </c>
      <c r="O127" t="s">
        <v>243</v>
      </c>
      <c r="P127">
        <v>134.3909754</v>
      </c>
      <c r="Q127" t="str">
        <f t="shared" si="1"/>
        <v>Luxury</v>
      </c>
    </row>
    <row r="128" spans="1:17" x14ac:dyDescent="0.3">
      <c r="A128" t="s">
        <v>239</v>
      </c>
      <c r="B128" t="s">
        <v>244</v>
      </c>
      <c r="C128">
        <v>1.8660000000000001</v>
      </c>
      <c r="D128">
        <v>67.55</v>
      </c>
      <c r="E128" t="s">
        <v>18</v>
      </c>
      <c r="F128">
        <v>74.97</v>
      </c>
      <c r="G128">
        <v>3.4</v>
      </c>
      <c r="H128">
        <v>300</v>
      </c>
      <c r="I128">
        <v>92.6</v>
      </c>
      <c r="J128">
        <v>69.5</v>
      </c>
      <c r="K128">
        <v>174.5</v>
      </c>
      <c r="L128">
        <v>3.0750000000000002</v>
      </c>
      <c r="M128">
        <v>17</v>
      </c>
      <c r="N128">
        <v>23</v>
      </c>
      <c r="O128" s="1">
        <v>40854</v>
      </c>
      <c r="P128">
        <v>135.91470960000001</v>
      </c>
      <c r="Q128" t="str">
        <f t="shared" si="1"/>
        <v>Luxury</v>
      </c>
    </row>
    <row r="129" spans="1:17" x14ac:dyDescent="0.3">
      <c r="A129" t="s">
        <v>245</v>
      </c>
      <c r="B129" s="2">
        <v>46270</v>
      </c>
      <c r="C129">
        <v>9.1910000000000007</v>
      </c>
      <c r="E129" t="s">
        <v>18</v>
      </c>
      <c r="F129">
        <v>33.119999999999997</v>
      </c>
      <c r="G129">
        <v>2.2999999999999998</v>
      </c>
      <c r="H129">
        <v>170</v>
      </c>
      <c r="I129">
        <v>106.4</v>
      </c>
      <c r="J129">
        <v>70.599999999999994</v>
      </c>
      <c r="K129">
        <v>189.2</v>
      </c>
      <c r="L129">
        <v>3.28</v>
      </c>
      <c r="M129">
        <v>18.5</v>
      </c>
      <c r="N129">
        <v>23</v>
      </c>
      <c r="O129" s="1">
        <v>41163</v>
      </c>
      <c r="P129">
        <v>73.503778190000006</v>
      </c>
      <c r="Q129" t="str">
        <f t="shared" si="1"/>
        <v>Premium</v>
      </c>
    </row>
    <row r="130" spans="1:17" x14ac:dyDescent="0.3">
      <c r="A130" t="s">
        <v>245</v>
      </c>
      <c r="B130" s="2">
        <v>46268</v>
      </c>
      <c r="C130">
        <v>12.115</v>
      </c>
      <c r="E130" t="s">
        <v>18</v>
      </c>
      <c r="F130">
        <v>26.1</v>
      </c>
      <c r="G130">
        <v>2</v>
      </c>
      <c r="H130">
        <v>185</v>
      </c>
      <c r="I130">
        <v>102.6</v>
      </c>
      <c r="J130">
        <v>67.400000000000006</v>
      </c>
      <c r="K130">
        <v>182.2</v>
      </c>
      <c r="L130">
        <v>2.99</v>
      </c>
      <c r="M130">
        <v>16.899999999999999</v>
      </c>
      <c r="N130">
        <v>23</v>
      </c>
      <c r="O130" s="1">
        <v>40883</v>
      </c>
      <c r="P130">
        <v>76.02304771</v>
      </c>
      <c r="Q130" t="str">
        <f t="shared" si="1"/>
        <v>Premium</v>
      </c>
    </row>
    <row r="131" spans="1:17" x14ac:dyDescent="0.3">
      <c r="A131" t="s">
        <v>246</v>
      </c>
      <c r="B131" t="s">
        <v>247</v>
      </c>
      <c r="C131">
        <v>80.62</v>
      </c>
      <c r="D131">
        <v>9.1999999999999993</v>
      </c>
      <c r="E131" t="s">
        <v>18</v>
      </c>
      <c r="F131">
        <v>10.685</v>
      </c>
      <c r="G131">
        <v>1.9</v>
      </c>
      <c r="H131">
        <v>100</v>
      </c>
      <c r="I131">
        <v>102.4</v>
      </c>
      <c r="J131">
        <v>66.400000000000006</v>
      </c>
      <c r="K131">
        <v>176.9</v>
      </c>
      <c r="L131">
        <v>2.3319999999999999</v>
      </c>
      <c r="M131">
        <v>12.1</v>
      </c>
      <c r="N131">
        <v>33</v>
      </c>
      <c r="O131" t="s">
        <v>118</v>
      </c>
      <c r="P131">
        <v>39.986424749999998</v>
      </c>
      <c r="Q131" t="str">
        <f t="shared" ref="Q131:Q158" si="2">IF(F131&lt;15,"Budget",IF(F131&lt;25,"Mid-Range",IF(F131&lt;40,"Premium","Luxury")))</f>
        <v>Budget</v>
      </c>
    </row>
    <row r="132" spans="1:17" x14ac:dyDescent="0.3">
      <c r="A132" t="s">
        <v>246</v>
      </c>
      <c r="B132" t="s">
        <v>248</v>
      </c>
      <c r="C132">
        <v>24.545999999999999</v>
      </c>
      <c r="D132">
        <v>10.59</v>
      </c>
      <c r="E132" t="s">
        <v>18</v>
      </c>
      <c r="F132">
        <v>12.535</v>
      </c>
      <c r="G132">
        <v>1.9</v>
      </c>
      <c r="H132">
        <v>100</v>
      </c>
      <c r="I132">
        <v>102.4</v>
      </c>
      <c r="J132">
        <v>66.400000000000006</v>
      </c>
      <c r="K132">
        <v>180</v>
      </c>
      <c r="L132">
        <v>2.367</v>
      </c>
      <c r="M132">
        <v>12.1</v>
      </c>
      <c r="N132">
        <v>33</v>
      </c>
      <c r="O132" t="s">
        <v>249</v>
      </c>
      <c r="P132">
        <v>40.700072419999998</v>
      </c>
      <c r="Q132" t="str">
        <f t="shared" si="2"/>
        <v>Budget</v>
      </c>
    </row>
    <row r="133" spans="1:17" x14ac:dyDescent="0.3">
      <c r="A133" t="s">
        <v>246</v>
      </c>
      <c r="B133" t="s">
        <v>250</v>
      </c>
      <c r="C133">
        <v>5.2229999999999999</v>
      </c>
      <c r="D133">
        <v>10.79</v>
      </c>
      <c r="E133" t="s">
        <v>18</v>
      </c>
      <c r="F133">
        <v>14.29</v>
      </c>
      <c r="G133">
        <v>1.9</v>
      </c>
      <c r="H133">
        <v>124</v>
      </c>
      <c r="I133">
        <v>102.4</v>
      </c>
      <c r="J133">
        <v>66.400000000000006</v>
      </c>
      <c r="K133">
        <v>176.9</v>
      </c>
      <c r="L133">
        <v>2.452</v>
      </c>
      <c r="M133">
        <v>12.1</v>
      </c>
      <c r="N133">
        <v>31</v>
      </c>
      <c r="O133" t="s">
        <v>251</v>
      </c>
      <c r="P133">
        <v>49.865773670000003</v>
      </c>
      <c r="Q133" t="str">
        <f t="shared" si="2"/>
        <v>Budget</v>
      </c>
    </row>
    <row r="134" spans="1:17" x14ac:dyDescent="0.3">
      <c r="A134" t="s">
        <v>246</v>
      </c>
      <c r="B134" t="s">
        <v>252</v>
      </c>
      <c r="C134">
        <v>8.4719999999999995</v>
      </c>
      <c r="E134" t="s">
        <v>18</v>
      </c>
      <c r="F134">
        <v>18.835000000000001</v>
      </c>
      <c r="G134">
        <v>2.2000000000000002</v>
      </c>
      <c r="H134">
        <v>137</v>
      </c>
      <c r="I134">
        <v>106.5</v>
      </c>
      <c r="J134">
        <v>69</v>
      </c>
      <c r="K134">
        <v>190.4</v>
      </c>
      <c r="L134">
        <v>3.0750000000000002</v>
      </c>
      <c r="M134">
        <v>13.1</v>
      </c>
      <c r="N134">
        <v>27</v>
      </c>
      <c r="O134" s="1">
        <v>40671</v>
      </c>
      <c r="P134">
        <v>56.295243040000003</v>
      </c>
      <c r="Q134" t="str">
        <f t="shared" si="2"/>
        <v>Mid-Range</v>
      </c>
    </row>
    <row r="135" spans="1:17" x14ac:dyDescent="0.3">
      <c r="A135" t="s">
        <v>246</v>
      </c>
      <c r="B135" t="s">
        <v>253</v>
      </c>
      <c r="C135">
        <v>49.988999999999997</v>
      </c>
      <c r="E135" t="s">
        <v>18</v>
      </c>
      <c r="F135">
        <v>15.01</v>
      </c>
      <c r="G135">
        <v>2.2000000000000002</v>
      </c>
      <c r="H135">
        <v>137</v>
      </c>
      <c r="I135">
        <v>106.5</v>
      </c>
      <c r="J135">
        <v>69</v>
      </c>
      <c r="K135">
        <v>190.4</v>
      </c>
      <c r="L135">
        <v>2.91</v>
      </c>
      <c r="M135">
        <v>13.1</v>
      </c>
      <c r="N135">
        <v>28</v>
      </c>
      <c r="O135" s="1">
        <v>41011</v>
      </c>
      <c r="P135">
        <v>54.819728249999997</v>
      </c>
      <c r="Q135" t="str">
        <f t="shared" si="2"/>
        <v>Mid-Range</v>
      </c>
    </row>
    <row r="136" spans="1:17" x14ac:dyDescent="0.3">
      <c r="A136" t="s">
        <v>254</v>
      </c>
      <c r="B136" t="s">
        <v>255</v>
      </c>
      <c r="C136">
        <v>47.106999999999999</v>
      </c>
      <c r="E136" t="s">
        <v>18</v>
      </c>
      <c r="F136">
        <v>22.695</v>
      </c>
      <c r="G136">
        <v>2.5</v>
      </c>
      <c r="H136">
        <v>165</v>
      </c>
      <c r="I136">
        <v>103.5</v>
      </c>
      <c r="J136">
        <v>67.5</v>
      </c>
      <c r="K136">
        <v>185.8</v>
      </c>
      <c r="L136">
        <v>3.415</v>
      </c>
      <c r="M136">
        <v>16.899999999999999</v>
      </c>
      <c r="N136">
        <v>25</v>
      </c>
      <c r="O136" s="1">
        <v>40731</v>
      </c>
      <c r="P136">
        <v>67.765907600000006</v>
      </c>
      <c r="Q136" t="str">
        <f t="shared" si="2"/>
        <v>Mid-Range</v>
      </c>
    </row>
    <row r="137" spans="1:17" x14ac:dyDescent="0.3">
      <c r="A137" t="s">
        <v>254</v>
      </c>
      <c r="B137" t="s">
        <v>256</v>
      </c>
      <c r="C137">
        <v>33.027999999999999</v>
      </c>
      <c r="E137" t="s">
        <v>50</v>
      </c>
      <c r="F137">
        <v>20.094999999999999</v>
      </c>
      <c r="G137">
        <v>2.5</v>
      </c>
      <c r="H137">
        <v>165</v>
      </c>
      <c r="I137">
        <v>99.4</v>
      </c>
      <c r="J137">
        <v>68.3</v>
      </c>
      <c r="K137">
        <v>175.2</v>
      </c>
      <c r="L137">
        <v>3.125</v>
      </c>
      <c r="M137">
        <v>15.9</v>
      </c>
      <c r="N137">
        <v>24</v>
      </c>
      <c r="O137" s="1">
        <v>41191</v>
      </c>
      <c r="P137">
        <v>66.762943309999997</v>
      </c>
      <c r="Q137" t="str">
        <f t="shared" si="2"/>
        <v>Mid-Range</v>
      </c>
    </row>
    <row r="138" spans="1:17" x14ac:dyDescent="0.3">
      <c r="A138" t="s">
        <v>257</v>
      </c>
      <c r="B138" t="s">
        <v>258</v>
      </c>
      <c r="C138">
        <v>142.535</v>
      </c>
      <c r="D138">
        <v>10.025</v>
      </c>
      <c r="E138" t="s">
        <v>18</v>
      </c>
      <c r="F138">
        <v>13.108000000000001</v>
      </c>
      <c r="G138">
        <v>1.8</v>
      </c>
      <c r="H138">
        <v>120</v>
      </c>
      <c r="I138">
        <v>97</v>
      </c>
      <c r="J138">
        <v>66.7</v>
      </c>
      <c r="K138">
        <v>174</v>
      </c>
      <c r="L138">
        <v>2.42</v>
      </c>
      <c r="M138">
        <v>13.2</v>
      </c>
      <c r="N138">
        <v>33</v>
      </c>
      <c r="O138" s="1">
        <v>40851</v>
      </c>
      <c r="P138">
        <v>47.96897242</v>
      </c>
      <c r="Q138" t="str">
        <f t="shared" si="2"/>
        <v>Budget</v>
      </c>
    </row>
    <row r="139" spans="1:17" x14ac:dyDescent="0.3">
      <c r="A139" t="s">
        <v>257</v>
      </c>
      <c r="B139" t="s">
        <v>259</v>
      </c>
      <c r="C139">
        <v>247.994</v>
      </c>
      <c r="D139">
        <v>13.244999999999999</v>
      </c>
      <c r="E139" t="s">
        <v>18</v>
      </c>
      <c r="F139">
        <v>17.518000000000001</v>
      </c>
      <c r="G139">
        <v>2.2000000000000002</v>
      </c>
      <c r="H139">
        <v>133</v>
      </c>
      <c r="I139">
        <v>105.2</v>
      </c>
      <c r="J139">
        <v>70.099999999999994</v>
      </c>
      <c r="K139">
        <v>188.5</v>
      </c>
      <c r="L139">
        <v>2.9980000000000002</v>
      </c>
      <c r="M139">
        <v>18.5</v>
      </c>
      <c r="N139">
        <v>27</v>
      </c>
      <c r="O139" s="1">
        <v>40818</v>
      </c>
      <c r="P139">
        <v>54.372419649999998</v>
      </c>
      <c r="Q139" t="str">
        <f t="shared" si="2"/>
        <v>Mid-Range</v>
      </c>
    </row>
    <row r="140" spans="1:17" x14ac:dyDescent="0.3">
      <c r="A140" t="s">
        <v>257</v>
      </c>
      <c r="B140" t="s">
        <v>260</v>
      </c>
      <c r="C140">
        <v>63.848999999999997</v>
      </c>
      <c r="D140">
        <v>18.14</v>
      </c>
      <c r="E140" t="s">
        <v>18</v>
      </c>
      <c r="F140">
        <v>25.545000000000002</v>
      </c>
      <c r="G140">
        <v>3</v>
      </c>
      <c r="H140">
        <v>210</v>
      </c>
      <c r="I140">
        <v>107.1</v>
      </c>
      <c r="J140">
        <v>71.7</v>
      </c>
      <c r="K140">
        <v>191.9</v>
      </c>
      <c r="L140">
        <v>3.4169999999999998</v>
      </c>
      <c r="M140">
        <v>18.5</v>
      </c>
      <c r="N140">
        <v>26</v>
      </c>
      <c r="O140" t="s">
        <v>200</v>
      </c>
      <c r="P140">
        <v>84.911898260000001</v>
      </c>
      <c r="Q140" t="str">
        <f t="shared" si="2"/>
        <v>Premium</v>
      </c>
    </row>
    <row r="141" spans="1:17" x14ac:dyDescent="0.3">
      <c r="A141" t="s">
        <v>257</v>
      </c>
      <c r="B141" t="s">
        <v>261</v>
      </c>
      <c r="C141">
        <v>33.268999999999998</v>
      </c>
      <c r="D141">
        <v>15.445</v>
      </c>
      <c r="E141" t="s">
        <v>18</v>
      </c>
      <c r="F141">
        <v>16.875</v>
      </c>
      <c r="G141">
        <v>1.8</v>
      </c>
      <c r="H141">
        <v>140</v>
      </c>
      <c r="I141">
        <v>102.4</v>
      </c>
      <c r="J141">
        <v>68.3</v>
      </c>
      <c r="K141">
        <v>170.5</v>
      </c>
      <c r="L141">
        <v>2.4249999999999998</v>
      </c>
      <c r="M141">
        <v>14.5</v>
      </c>
      <c r="N141">
        <v>31</v>
      </c>
      <c r="O141" t="s">
        <v>262</v>
      </c>
      <c r="P141">
        <v>56.496030339999997</v>
      </c>
      <c r="Q141" t="str">
        <f t="shared" si="2"/>
        <v>Mid-Range</v>
      </c>
    </row>
    <row r="142" spans="1:17" x14ac:dyDescent="0.3">
      <c r="A142" t="s">
        <v>257</v>
      </c>
      <c r="B142" t="s">
        <v>263</v>
      </c>
      <c r="C142">
        <v>84.087000000000003</v>
      </c>
      <c r="D142">
        <v>9.5749999999999993</v>
      </c>
      <c r="E142" t="s">
        <v>50</v>
      </c>
      <c r="F142">
        <v>11.528</v>
      </c>
      <c r="G142">
        <v>2.4</v>
      </c>
      <c r="H142">
        <v>142</v>
      </c>
      <c r="I142">
        <v>103.3</v>
      </c>
      <c r="J142">
        <v>66.5</v>
      </c>
      <c r="K142">
        <v>178.7</v>
      </c>
      <c r="L142">
        <v>2.58</v>
      </c>
      <c r="M142">
        <v>15.1</v>
      </c>
      <c r="N142">
        <v>23</v>
      </c>
      <c r="O142" s="1">
        <v>40551</v>
      </c>
      <c r="P142">
        <v>55.297116580000001</v>
      </c>
      <c r="Q142" t="str">
        <f t="shared" si="2"/>
        <v>Budget</v>
      </c>
    </row>
    <row r="143" spans="1:17" x14ac:dyDescent="0.3">
      <c r="A143" t="s">
        <v>257</v>
      </c>
      <c r="B143" t="s">
        <v>264</v>
      </c>
      <c r="C143">
        <v>65.119</v>
      </c>
      <c r="E143" t="s">
        <v>50</v>
      </c>
      <c r="F143">
        <v>22.367999999999999</v>
      </c>
      <c r="G143">
        <v>3</v>
      </c>
      <c r="H143">
        <v>194</v>
      </c>
      <c r="I143">
        <v>114.2</v>
      </c>
      <c r="J143">
        <v>73.400000000000006</v>
      </c>
      <c r="K143">
        <v>193.5</v>
      </c>
      <c r="L143">
        <v>3.7589999999999999</v>
      </c>
      <c r="M143">
        <v>20.9</v>
      </c>
      <c r="N143">
        <v>22</v>
      </c>
      <c r="O143" s="1">
        <v>41039</v>
      </c>
      <c r="P143">
        <v>78.027219470000006</v>
      </c>
      <c r="Q143" t="str">
        <f t="shared" si="2"/>
        <v>Mid-Range</v>
      </c>
    </row>
    <row r="144" spans="1:17" x14ac:dyDescent="0.3">
      <c r="A144" t="s">
        <v>257</v>
      </c>
      <c r="B144" t="s">
        <v>265</v>
      </c>
      <c r="C144">
        <v>25.106000000000002</v>
      </c>
      <c r="D144">
        <v>13.324999999999999</v>
      </c>
      <c r="E144" t="s">
        <v>50</v>
      </c>
      <c r="F144">
        <v>16.888000000000002</v>
      </c>
      <c r="G144">
        <v>2</v>
      </c>
      <c r="H144">
        <v>127</v>
      </c>
      <c r="I144">
        <v>94.9</v>
      </c>
      <c r="J144">
        <v>66.7</v>
      </c>
      <c r="K144">
        <v>163.80000000000001</v>
      </c>
      <c r="L144">
        <v>2.6680000000000001</v>
      </c>
      <c r="M144">
        <v>15.3</v>
      </c>
      <c r="N144">
        <v>27</v>
      </c>
      <c r="O144" s="1">
        <v>40699</v>
      </c>
      <c r="P144">
        <v>51.955108869999997</v>
      </c>
      <c r="Q144" t="str">
        <f t="shared" si="2"/>
        <v>Mid-Range</v>
      </c>
    </row>
    <row r="145" spans="1:17" x14ac:dyDescent="0.3">
      <c r="A145" t="s">
        <v>257</v>
      </c>
      <c r="B145" t="s">
        <v>266</v>
      </c>
      <c r="C145">
        <v>68.411000000000001</v>
      </c>
      <c r="D145">
        <v>19.425000000000001</v>
      </c>
      <c r="E145" t="s">
        <v>50</v>
      </c>
      <c r="F145">
        <v>22.288</v>
      </c>
      <c r="G145">
        <v>2.7</v>
      </c>
      <c r="H145">
        <v>150</v>
      </c>
      <c r="I145">
        <v>105.3</v>
      </c>
      <c r="J145">
        <v>66.5</v>
      </c>
      <c r="K145">
        <v>183.3</v>
      </c>
      <c r="L145">
        <v>3.44</v>
      </c>
      <c r="M145">
        <v>18.5</v>
      </c>
      <c r="N145">
        <v>23</v>
      </c>
      <c r="O145" s="1">
        <v>40727</v>
      </c>
      <c r="P145">
        <v>62.35557713</v>
      </c>
      <c r="Q145" t="str">
        <f t="shared" si="2"/>
        <v>Mid-Range</v>
      </c>
    </row>
    <row r="146" spans="1:17" x14ac:dyDescent="0.3">
      <c r="A146" t="s">
        <v>257</v>
      </c>
      <c r="B146" t="s">
        <v>267</v>
      </c>
      <c r="C146">
        <v>9.8350000000000009</v>
      </c>
      <c r="D146">
        <v>34.08</v>
      </c>
      <c r="E146" t="s">
        <v>50</v>
      </c>
      <c r="F146">
        <v>51.728000000000002</v>
      </c>
      <c r="G146">
        <v>4.7</v>
      </c>
      <c r="H146">
        <v>230</v>
      </c>
      <c r="I146">
        <v>112.2</v>
      </c>
      <c r="J146">
        <v>76.400000000000006</v>
      </c>
      <c r="K146">
        <v>192.5</v>
      </c>
      <c r="L146">
        <v>5.1150000000000002</v>
      </c>
      <c r="M146">
        <v>25.4</v>
      </c>
      <c r="N146">
        <v>15</v>
      </c>
      <c r="O146" t="s">
        <v>205</v>
      </c>
      <c r="P146">
        <v>102.5289842</v>
      </c>
      <c r="Q146" t="str">
        <f t="shared" si="2"/>
        <v>Luxury</v>
      </c>
    </row>
    <row r="147" spans="1:17" x14ac:dyDescent="0.3">
      <c r="A147" t="s">
        <v>268</v>
      </c>
      <c r="B147" t="s">
        <v>269</v>
      </c>
      <c r="C147">
        <v>9.7609999999999992</v>
      </c>
      <c r="D147">
        <v>11.425000000000001</v>
      </c>
      <c r="E147" t="s">
        <v>18</v>
      </c>
      <c r="F147">
        <v>14.9</v>
      </c>
      <c r="G147">
        <v>2</v>
      </c>
      <c r="H147">
        <v>115</v>
      </c>
      <c r="I147">
        <v>98.9</v>
      </c>
      <c r="J147">
        <v>68.3</v>
      </c>
      <c r="K147">
        <v>163.30000000000001</v>
      </c>
      <c r="L147">
        <v>2.7669999999999999</v>
      </c>
      <c r="M147">
        <v>14.5</v>
      </c>
      <c r="N147">
        <v>26</v>
      </c>
      <c r="O147" t="s">
        <v>207</v>
      </c>
      <c r="P147">
        <v>46.943876760000002</v>
      </c>
      <c r="Q147" t="str">
        <f t="shared" si="2"/>
        <v>Budget</v>
      </c>
    </row>
    <row r="148" spans="1:17" x14ac:dyDescent="0.3">
      <c r="A148" t="s">
        <v>268</v>
      </c>
      <c r="B148" t="s">
        <v>270</v>
      </c>
      <c r="C148">
        <v>83.721000000000004</v>
      </c>
      <c r="D148">
        <v>13.24</v>
      </c>
      <c r="E148" t="s">
        <v>18</v>
      </c>
      <c r="F148">
        <v>16.7</v>
      </c>
      <c r="G148">
        <v>2</v>
      </c>
      <c r="H148">
        <v>115</v>
      </c>
      <c r="I148">
        <v>98.9</v>
      </c>
      <c r="J148">
        <v>68.3</v>
      </c>
      <c r="K148">
        <v>172.3</v>
      </c>
      <c r="L148">
        <v>2.8530000000000002</v>
      </c>
      <c r="M148">
        <v>14.5</v>
      </c>
      <c r="N148">
        <v>26</v>
      </c>
      <c r="O148" t="s">
        <v>209</v>
      </c>
      <c r="P148">
        <v>47.638236659999997</v>
      </c>
      <c r="Q148" t="str">
        <f t="shared" si="2"/>
        <v>Mid-Range</v>
      </c>
    </row>
    <row r="149" spans="1:17" x14ac:dyDescent="0.3">
      <c r="A149" t="s">
        <v>268</v>
      </c>
      <c r="B149" t="s">
        <v>271</v>
      </c>
      <c r="C149">
        <v>51.101999999999997</v>
      </c>
      <c r="D149">
        <v>16.725000000000001</v>
      </c>
      <c r="E149" t="s">
        <v>18</v>
      </c>
      <c r="F149">
        <v>21.2</v>
      </c>
      <c r="G149">
        <v>1.8</v>
      </c>
      <c r="H149">
        <v>150</v>
      </c>
      <c r="I149">
        <v>106.4</v>
      </c>
      <c r="J149">
        <v>68.5</v>
      </c>
      <c r="K149">
        <v>184.1</v>
      </c>
      <c r="L149">
        <v>3.0430000000000001</v>
      </c>
      <c r="M149">
        <v>16.399999999999999</v>
      </c>
      <c r="N149">
        <v>27</v>
      </c>
      <c r="O149" t="s">
        <v>151</v>
      </c>
      <c r="P149">
        <v>61.701381359999999</v>
      </c>
      <c r="Q149" t="str">
        <f t="shared" si="2"/>
        <v>Mid-Range</v>
      </c>
    </row>
    <row r="150" spans="1:17" x14ac:dyDescent="0.3">
      <c r="A150" t="s">
        <v>268</v>
      </c>
      <c r="B150" t="s">
        <v>272</v>
      </c>
      <c r="C150">
        <v>9.5690000000000008</v>
      </c>
      <c r="D150">
        <v>16.574999999999999</v>
      </c>
      <c r="E150" t="s">
        <v>18</v>
      </c>
      <c r="F150">
        <v>19.989999999999998</v>
      </c>
      <c r="G150">
        <v>2</v>
      </c>
      <c r="H150">
        <v>115</v>
      </c>
      <c r="I150">
        <v>97.4</v>
      </c>
      <c r="J150">
        <v>66.7</v>
      </c>
      <c r="K150">
        <v>160.4</v>
      </c>
      <c r="L150">
        <v>3.0790000000000002</v>
      </c>
      <c r="M150">
        <v>13.7</v>
      </c>
      <c r="N150">
        <v>26</v>
      </c>
      <c r="O150" t="s">
        <v>212</v>
      </c>
      <c r="P150">
        <v>48.907372250000002</v>
      </c>
      <c r="Q150" t="str">
        <f t="shared" si="2"/>
        <v>Mid-Range</v>
      </c>
    </row>
    <row r="151" spans="1:17" x14ac:dyDescent="0.3">
      <c r="A151" t="s">
        <v>268</v>
      </c>
      <c r="B151" t="s">
        <v>273</v>
      </c>
      <c r="C151">
        <v>5.5960000000000001</v>
      </c>
      <c r="D151">
        <v>13.76</v>
      </c>
      <c r="E151" t="s">
        <v>18</v>
      </c>
      <c r="F151">
        <v>17.5</v>
      </c>
      <c r="G151">
        <v>2</v>
      </c>
      <c r="H151">
        <v>115</v>
      </c>
      <c r="I151">
        <v>98.9</v>
      </c>
      <c r="J151">
        <v>68.3</v>
      </c>
      <c r="K151">
        <v>163.30000000000001</v>
      </c>
      <c r="L151">
        <v>2.762</v>
      </c>
      <c r="M151">
        <v>14.6</v>
      </c>
      <c r="N151">
        <v>26</v>
      </c>
      <c r="O151" s="1">
        <v>40547</v>
      </c>
      <c r="P151">
        <v>47.946841059999997</v>
      </c>
      <c r="Q151" t="str">
        <f t="shared" si="2"/>
        <v>Mid-Range</v>
      </c>
    </row>
    <row r="152" spans="1:17" x14ac:dyDescent="0.3">
      <c r="A152" t="s">
        <v>268</v>
      </c>
      <c r="B152" t="s">
        <v>274</v>
      </c>
      <c r="C152">
        <v>49.463000000000001</v>
      </c>
      <c r="E152" t="s">
        <v>18</v>
      </c>
      <c r="F152">
        <v>15.9</v>
      </c>
      <c r="G152">
        <v>2</v>
      </c>
      <c r="H152">
        <v>115</v>
      </c>
      <c r="I152">
        <v>98.9</v>
      </c>
      <c r="J152">
        <v>67.900000000000006</v>
      </c>
      <c r="K152">
        <v>161.1</v>
      </c>
      <c r="L152">
        <v>2.7690000000000001</v>
      </c>
      <c r="M152">
        <v>14.5</v>
      </c>
      <c r="N152">
        <v>26</v>
      </c>
      <c r="O152" t="s">
        <v>275</v>
      </c>
      <c r="P152">
        <v>47.329632259999997</v>
      </c>
      <c r="Q152" t="str">
        <f t="shared" si="2"/>
        <v>Mid-Range</v>
      </c>
    </row>
    <row r="153" spans="1:17" x14ac:dyDescent="0.3">
      <c r="A153" t="s">
        <v>276</v>
      </c>
      <c r="B153" t="s">
        <v>277</v>
      </c>
      <c r="C153">
        <v>16.957000000000001</v>
      </c>
      <c r="E153" t="s">
        <v>18</v>
      </c>
      <c r="F153">
        <v>23.4</v>
      </c>
      <c r="G153">
        <v>1.9</v>
      </c>
      <c r="H153">
        <v>160</v>
      </c>
      <c r="I153">
        <v>100.5</v>
      </c>
      <c r="J153">
        <v>67.599999999999994</v>
      </c>
      <c r="K153">
        <v>176.6</v>
      </c>
      <c r="L153">
        <v>2.9980000000000002</v>
      </c>
      <c r="M153">
        <v>15.8</v>
      </c>
      <c r="N153">
        <v>25</v>
      </c>
      <c r="O153" t="s">
        <v>216</v>
      </c>
      <c r="P153">
        <v>66.113056799999995</v>
      </c>
      <c r="Q153" t="str">
        <f t="shared" si="2"/>
        <v>Mid-Range</v>
      </c>
    </row>
    <row r="154" spans="1:17" x14ac:dyDescent="0.3">
      <c r="A154" t="s">
        <v>276</v>
      </c>
      <c r="B154" t="s">
        <v>278</v>
      </c>
      <c r="C154">
        <v>3.5449999999999999</v>
      </c>
      <c r="E154" t="s">
        <v>18</v>
      </c>
      <c r="F154">
        <v>24.4</v>
      </c>
      <c r="G154">
        <v>1.9</v>
      </c>
      <c r="H154">
        <v>160</v>
      </c>
      <c r="I154">
        <v>100.5</v>
      </c>
      <c r="J154">
        <v>67.599999999999994</v>
      </c>
      <c r="K154">
        <v>176.6</v>
      </c>
      <c r="L154">
        <v>3.0419999999999998</v>
      </c>
      <c r="M154">
        <v>15.8</v>
      </c>
      <c r="N154">
        <v>25</v>
      </c>
      <c r="O154" t="s">
        <v>218</v>
      </c>
      <c r="P154">
        <v>66.498812299999997</v>
      </c>
      <c r="Q154" t="str">
        <f t="shared" si="2"/>
        <v>Mid-Range</v>
      </c>
    </row>
    <row r="155" spans="1:17" x14ac:dyDescent="0.3">
      <c r="A155" t="s">
        <v>276</v>
      </c>
      <c r="B155" t="s">
        <v>279</v>
      </c>
      <c r="C155">
        <v>15.244999999999999</v>
      </c>
      <c r="E155" t="s">
        <v>18</v>
      </c>
      <c r="F155">
        <v>27.5</v>
      </c>
      <c r="G155">
        <v>2.4</v>
      </c>
      <c r="H155">
        <v>168</v>
      </c>
      <c r="I155">
        <v>104.9</v>
      </c>
      <c r="J155">
        <v>69.3</v>
      </c>
      <c r="K155">
        <v>185.9</v>
      </c>
      <c r="L155">
        <v>3.2080000000000002</v>
      </c>
      <c r="M155">
        <v>17.899999999999999</v>
      </c>
      <c r="N155">
        <v>25</v>
      </c>
      <c r="O155" t="s">
        <v>162</v>
      </c>
      <c r="P155">
        <v>70.654495449999999</v>
      </c>
      <c r="Q155" t="str">
        <f t="shared" si="2"/>
        <v>Premium</v>
      </c>
    </row>
    <row r="156" spans="1:17" x14ac:dyDescent="0.3">
      <c r="A156" t="s">
        <v>276</v>
      </c>
      <c r="B156" t="s">
        <v>280</v>
      </c>
      <c r="C156">
        <v>17.530999999999999</v>
      </c>
      <c r="E156" t="s">
        <v>18</v>
      </c>
      <c r="F156">
        <v>28.8</v>
      </c>
      <c r="G156">
        <v>2.4</v>
      </c>
      <c r="H156">
        <v>168</v>
      </c>
      <c r="I156">
        <v>104.9</v>
      </c>
      <c r="J156">
        <v>69.3</v>
      </c>
      <c r="K156">
        <v>186.2</v>
      </c>
      <c r="L156">
        <v>3.2589999999999999</v>
      </c>
      <c r="M156">
        <v>17.899999999999999</v>
      </c>
      <c r="N156">
        <v>25</v>
      </c>
      <c r="O156" t="s">
        <v>220</v>
      </c>
      <c r="P156">
        <v>71.1559776</v>
      </c>
      <c r="Q156" t="str">
        <f t="shared" si="2"/>
        <v>Premium</v>
      </c>
    </row>
    <row r="157" spans="1:17" x14ac:dyDescent="0.3">
      <c r="A157" t="s">
        <v>276</v>
      </c>
      <c r="B157" t="s">
        <v>281</v>
      </c>
      <c r="C157">
        <v>3.4929999999999999</v>
      </c>
      <c r="E157" t="s">
        <v>18</v>
      </c>
      <c r="F157">
        <v>45.5</v>
      </c>
      <c r="G157">
        <v>2.2999999999999998</v>
      </c>
      <c r="H157">
        <v>236</v>
      </c>
      <c r="I157">
        <v>104.9</v>
      </c>
      <c r="J157">
        <v>71.5</v>
      </c>
      <c r="K157">
        <v>185.7</v>
      </c>
      <c r="L157">
        <v>3.601</v>
      </c>
      <c r="M157">
        <v>18.5</v>
      </c>
      <c r="N157">
        <v>23</v>
      </c>
      <c r="O157" t="s">
        <v>222</v>
      </c>
      <c r="P157">
        <v>101.6233572</v>
      </c>
      <c r="Q157" t="str">
        <f t="shared" si="2"/>
        <v>Luxury</v>
      </c>
    </row>
    <row r="158" spans="1:17" x14ac:dyDescent="0.3">
      <c r="A158" t="s">
        <v>276</v>
      </c>
      <c r="B158" t="s">
        <v>282</v>
      </c>
      <c r="C158">
        <v>18.969000000000001</v>
      </c>
      <c r="E158" t="s">
        <v>18</v>
      </c>
      <c r="F158">
        <v>36</v>
      </c>
      <c r="G158">
        <v>2.9</v>
      </c>
      <c r="H158">
        <v>201</v>
      </c>
      <c r="I158">
        <v>109.9</v>
      </c>
      <c r="J158">
        <v>72.099999999999994</v>
      </c>
      <c r="K158">
        <v>189.8</v>
      </c>
      <c r="L158">
        <v>3.6</v>
      </c>
      <c r="M158">
        <v>21.1</v>
      </c>
      <c r="N158">
        <v>24</v>
      </c>
      <c r="O158" t="s">
        <v>224</v>
      </c>
      <c r="P158">
        <v>85.735654510000003</v>
      </c>
      <c r="Q158" t="str">
        <f t="shared" si="2"/>
        <v>Premium</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Sheet1</vt:lpstr>
      <vt:lpstr>Sheet1!Car_sales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Ture</dc:creator>
  <cp:lastModifiedBy>Pooja Ture</cp:lastModifiedBy>
  <dcterms:created xsi:type="dcterms:W3CDTF">2026-05-31T15:10:42Z</dcterms:created>
  <dcterms:modified xsi:type="dcterms:W3CDTF">2026-05-31T15:24:20Z</dcterms:modified>
</cp:coreProperties>
</file>